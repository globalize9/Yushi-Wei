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yushi/Documents/GitHub/Yushi-Wei/BS_Scenarios/"/>
    </mc:Choice>
  </mc:AlternateContent>
  <xr:revisionPtr revIDLastSave="0" documentId="13_ncr:1_{D9C99331-4068-424F-97B3-91C7950215DE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Params" sheetId="1" r:id="rId1"/>
    <sheet name="Parallel_Vol_Rates" sheetId="2" r:id="rId2"/>
    <sheet name="Skew_Rates" sheetId="3" r:id="rId3"/>
    <sheet name="Skew_Parallel_Vo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4" l="1"/>
  <c r="K27" i="4"/>
  <c r="J27" i="4"/>
  <c r="I27" i="4"/>
  <c r="H27" i="4"/>
  <c r="G27" i="4"/>
  <c r="F27" i="4"/>
  <c r="E27" i="4"/>
  <c r="D27" i="4"/>
  <c r="C27" i="4"/>
  <c r="B27" i="4"/>
  <c r="L26" i="4"/>
  <c r="K26" i="4"/>
  <c r="J26" i="4"/>
  <c r="I26" i="4"/>
  <c r="H26" i="4"/>
  <c r="G26" i="4"/>
  <c r="F26" i="4"/>
  <c r="E26" i="4"/>
  <c r="D26" i="4"/>
  <c r="C26" i="4"/>
  <c r="B26" i="4"/>
  <c r="L25" i="4"/>
  <c r="K25" i="4"/>
  <c r="J25" i="4"/>
  <c r="I25" i="4"/>
  <c r="H25" i="4"/>
  <c r="G25" i="4"/>
  <c r="F25" i="4"/>
  <c r="E25" i="4"/>
  <c r="D25" i="4"/>
  <c r="C25" i="4"/>
  <c r="B25" i="4"/>
  <c r="L24" i="4"/>
  <c r="K24" i="4"/>
  <c r="J24" i="4"/>
  <c r="I24" i="4"/>
  <c r="H24" i="4"/>
  <c r="G24" i="4"/>
  <c r="F24" i="4"/>
  <c r="E24" i="4"/>
  <c r="D24" i="4"/>
  <c r="C24" i="4"/>
  <c r="B24" i="4"/>
  <c r="L23" i="4"/>
  <c r="K23" i="4"/>
  <c r="J23" i="4"/>
  <c r="I23" i="4"/>
  <c r="H23" i="4"/>
  <c r="G23" i="4"/>
  <c r="F23" i="4"/>
  <c r="E23" i="4"/>
  <c r="D23" i="4"/>
  <c r="C23" i="4"/>
  <c r="B23" i="4"/>
  <c r="L22" i="4"/>
  <c r="K22" i="4"/>
  <c r="J22" i="4"/>
  <c r="I22" i="4"/>
  <c r="H22" i="4"/>
  <c r="G22" i="4"/>
  <c r="F22" i="4"/>
  <c r="E22" i="4"/>
  <c r="D22" i="4"/>
  <c r="C22" i="4"/>
  <c r="B22" i="4"/>
  <c r="L21" i="4"/>
  <c r="K21" i="4"/>
  <c r="J21" i="4"/>
  <c r="I21" i="4"/>
  <c r="H21" i="4"/>
  <c r="G21" i="4"/>
  <c r="F21" i="4"/>
  <c r="E21" i="4"/>
  <c r="D21" i="4"/>
  <c r="C21" i="4"/>
  <c r="B21" i="4"/>
  <c r="L20" i="4"/>
  <c r="K20" i="4"/>
  <c r="J20" i="4"/>
  <c r="I20" i="4"/>
  <c r="H20" i="4"/>
  <c r="G20" i="4"/>
  <c r="F20" i="4"/>
  <c r="E20" i="4"/>
  <c r="D20" i="4"/>
  <c r="C20" i="4"/>
  <c r="B20" i="4"/>
  <c r="L19" i="4"/>
  <c r="K19" i="4"/>
  <c r="J19" i="4"/>
  <c r="I19" i="4"/>
  <c r="H19" i="4"/>
  <c r="G19" i="4"/>
  <c r="F19" i="4"/>
  <c r="E19" i="4"/>
  <c r="D19" i="4"/>
  <c r="C19" i="4"/>
  <c r="B19" i="4"/>
  <c r="L18" i="4"/>
  <c r="K18" i="4"/>
  <c r="J18" i="4"/>
  <c r="I18" i="4"/>
  <c r="H18" i="4"/>
  <c r="G18" i="4"/>
  <c r="F18" i="4"/>
  <c r="E18" i="4"/>
  <c r="D18" i="4"/>
  <c r="C18" i="4"/>
  <c r="B18" i="4"/>
  <c r="A18" i="4"/>
  <c r="A19" i="4" s="1"/>
  <c r="A20" i="4" s="1"/>
  <c r="A21" i="4" s="1"/>
  <c r="A22" i="4" s="1"/>
  <c r="A23" i="4" s="1"/>
  <c r="A24" i="4" s="1"/>
  <c r="A25" i="4" s="1"/>
  <c r="A26" i="4" s="1"/>
  <c r="A27" i="4" s="1"/>
  <c r="L17" i="4"/>
  <c r="K17" i="4"/>
  <c r="J17" i="4"/>
  <c r="I17" i="4"/>
  <c r="H17" i="4"/>
  <c r="G17" i="4"/>
  <c r="F17" i="4"/>
  <c r="E17" i="4"/>
  <c r="D17" i="4"/>
  <c r="C17" i="4"/>
  <c r="B17" i="4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A19" i="3" s="1"/>
  <c r="A20" i="3" s="1"/>
  <c r="A21" i="3" s="1"/>
  <c r="A22" i="3" s="1"/>
  <c r="A23" i="3" s="1"/>
  <c r="A24" i="3" s="1"/>
  <c r="A25" i="3" s="1"/>
  <c r="A26" i="3" s="1"/>
  <c r="A27" i="3" s="1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3" i="4"/>
  <c r="A4" i="4" s="1"/>
  <c r="A5" i="4" s="1"/>
  <c r="A6" i="4" s="1"/>
  <c r="A7" i="4" s="1"/>
  <c r="A8" i="4" s="1"/>
  <c r="A9" i="4" s="1"/>
  <c r="A10" i="4" s="1"/>
  <c r="A11" i="4" s="1"/>
  <c r="A12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2" i="2"/>
  <c r="A7" i="2"/>
  <c r="A2" i="2"/>
</calcChain>
</file>

<file path=xl/sharedStrings.xml><?xml version="1.0" encoding="utf-8"?>
<sst xmlns="http://schemas.openxmlformats.org/spreadsheetml/2006/main" count="16" uniqueCount="16">
  <si>
    <t>BS Inputs</t>
  </si>
  <si>
    <t>15% CAP, 10% buffer strategy, hedging only the one year payout</t>
  </si>
  <si>
    <t>S_0</t>
  </si>
  <si>
    <t>Skew is defined as the 90% put - 115% call, when skew steepens, keep the ATM vol the same</t>
  </si>
  <si>
    <t>K</t>
  </si>
  <si>
    <t>Scenarios defined as rates +/- 250 bps, in 50 bps increments</t>
  </si>
  <si>
    <t>r</t>
  </si>
  <si>
    <t>Skew going from 5% to 15% in 1% increment</t>
  </si>
  <si>
    <t>Time</t>
  </si>
  <si>
    <t>ATM vol</t>
  </si>
  <si>
    <t>90% vol</t>
  </si>
  <si>
    <t>115% vol</t>
  </si>
  <si>
    <t>Skew / Rates</t>
  </si>
  <si>
    <t>Skew / Parallel_Vol</t>
  </si>
  <si>
    <t>Parallel_Vol / Rates</t>
  </si>
  <si>
    <t>Parallel ATM vol ranging from 15% to 25% in 1% increments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</si>
</sst>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0" applyNumberFormat="1"/>
    <xf numFmtId="9" fontId="0" fillId="0" borderId="0" xfId="2" applyFont="1"/>
    <xf numFmtId="9" fontId="2" fillId="2" borderId="0" xfId="2" applyFont="1" applyFill="1"/>
    <xf numFmtId="164" fontId="0" fillId="0" borderId="0" xfId="1" applyNumberFormat="1" applyFont="1"/>
    <xf numFmtId="164" fontId="3" fillId="0" borderId="0" xfId="1" applyNumberFormat="1" applyFont="1"/>
    <xf numFmtId="164" fontId="2" fillId="2" borderId="0" xfId="1" applyNumberFormat="1" applyFont="1" applyFill="1"/>
    <xf numFmtId="164" fontId="3" fillId="2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70" workbookViewId="0">
      <selection activeCell="D6" sqref="D6"/>
    </sheetView>
  </sheetViews>
  <sheetFormatPr baseColWidth="10" defaultColWidth="8.83203125" defaultRowHeight="15" x14ac:dyDescent="0.2"/>
  <sheetData>
    <row r="1" spans="1:4" x14ac:dyDescent="0.2">
      <c r="A1" t="s">
        <v>0</v>
      </c>
      <c r="D1" t="s">
        <v>1</v>
      </c>
    </row>
    <row r="2" spans="1:4" x14ac:dyDescent="0.2">
      <c r="A2" t="s">
        <v>2</v>
      </c>
      <c r="B2">
        <v>6638</v>
      </c>
      <c r="D2" t="s">
        <v>3</v>
      </c>
    </row>
    <row r="3" spans="1:4" x14ac:dyDescent="0.2">
      <c r="A3" t="s">
        <v>4</v>
      </c>
      <c r="B3">
        <v>6638</v>
      </c>
      <c r="D3" t="s">
        <v>5</v>
      </c>
    </row>
    <row r="4" spans="1:4" x14ac:dyDescent="0.2">
      <c r="A4" t="s">
        <v>6</v>
      </c>
      <c r="B4">
        <v>0.03</v>
      </c>
      <c r="D4" t="s">
        <v>7</v>
      </c>
    </row>
    <row r="5" spans="1:4" x14ac:dyDescent="0.2">
      <c r="A5" t="s">
        <v>8</v>
      </c>
      <c r="B5">
        <v>1</v>
      </c>
      <c r="D5" t="s">
        <v>15</v>
      </c>
    </row>
    <row r="6" spans="1:4" x14ac:dyDescent="0.2">
      <c r="A6" t="s">
        <v>9</v>
      </c>
      <c r="B6">
        <v>0.18</v>
      </c>
    </row>
    <row r="7" spans="1:4" x14ac:dyDescent="0.2">
      <c r="A7" t="s">
        <v>10</v>
      </c>
      <c r="B7">
        <v>0.22</v>
      </c>
    </row>
    <row r="8" spans="1:4" x14ac:dyDescent="0.2">
      <c r="A8" t="s">
        <v>11</v>
      </c>
      <c r="B8">
        <v>0.14000000000000001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zoomScale="160" zoomScaleNormal="160" workbookViewId="0">
      <selection activeCell="H20" sqref="H20"/>
    </sheetView>
  </sheetViews>
  <sheetFormatPr baseColWidth="10" defaultColWidth="8.83203125" defaultRowHeight="15" x14ac:dyDescent="0.2"/>
  <sheetData>
    <row r="1" spans="1:14" x14ac:dyDescent="0.2">
      <c r="B1" s="1">
        <v>0</v>
      </c>
      <c r="C1" s="1">
        <v>4.9999999999999984E-3</v>
      </c>
      <c r="D1" s="1">
        <v>9.9999999999999985E-3</v>
      </c>
      <c r="E1" s="1">
        <v>1.4999999999999999E-2</v>
      </c>
      <c r="F1" s="1">
        <v>0.02</v>
      </c>
      <c r="G1" s="1">
        <v>2.5000000000000001E-2</v>
      </c>
      <c r="H1" s="1">
        <v>0.03</v>
      </c>
      <c r="I1" s="1">
        <v>3.5000000000000003E-2</v>
      </c>
      <c r="J1" s="1">
        <v>0.04</v>
      </c>
      <c r="K1" s="1">
        <v>4.4999999999999998E-2</v>
      </c>
      <c r="L1" s="1">
        <v>0.05</v>
      </c>
      <c r="M1" s="1">
        <v>5.5E-2</v>
      </c>
      <c r="N1" s="1">
        <v>0.06</v>
      </c>
    </row>
    <row r="2" spans="1:14" x14ac:dyDescent="0.2">
      <c r="A2" s="2">
        <f>A3-1%</f>
        <v>0.15</v>
      </c>
      <c r="B2" s="4">
        <v>142.31510805774809</v>
      </c>
      <c r="C2" s="4">
        <v>163.9129113451618</v>
      </c>
      <c r="D2" s="4">
        <v>185.2612560613172</v>
      </c>
      <c r="E2" s="4">
        <v>206.34833170218181</v>
      </c>
      <c r="F2" s="4">
        <v>227.1618338723481</v>
      </c>
      <c r="G2" s="4">
        <v>247.68902599636149</v>
      </c>
      <c r="H2" s="4">
        <v>267.9168059689764</v>
      </c>
      <c r="I2" s="4">
        <v>287.83177733654247</v>
      </c>
      <c r="J2" s="4">
        <v>307.42032454246709</v>
      </c>
      <c r="K2" s="4">
        <v>326.66869171386497</v>
      </c>
      <c r="L2" s="4">
        <v>345.56306441491211</v>
      </c>
      <c r="M2" s="4">
        <v>364.08965374591889</v>
      </c>
      <c r="N2" s="4">
        <v>382.23478212672262</v>
      </c>
    </row>
    <row r="3" spans="1:14" x14ac:dyDescent="0.2">
      <c r="A3" s="2">
        <v>0.16</v>
      </c>
      <c r="B3" s="4">
        <v>133.5739435026542</v>
      </c>
      <c r="C3" s="4">
        <v>154.76417958744759</v>
      </c>
      <c r="D3" s="4">
        <v>175.67910507318879</v>
      </c>
      <c r="E3" s="4">
        <v>196.30898948293151</v>
      </c>
      <c r="F3" s="4">
        <v>216.64382500036959</v>
      </c>
      <c r="G3" s="4">
        <v>236.67337483772579</v>
      </c>
      <c r="H3" s="4">
        <v>256.38722430468778</v>
      </c>
      <c r="I3" s="4">
        <v>275.77483427177248</v>
      </c>
      <c r="J3" s="4">
        <v>294.8255966925924</v>
      </c>
      <c r="K3" s="4">
        <v>313.52889182315698</v>
      </c>
      <c r="L3" s="4">
        <v>331.87414675298692</v>
      </c>
      <c r="M3" s="4">
        <v>349.85089484271379</v>
      </c>
      <c r="N3" s="4">
        <v>367.44883564647938</v>
      </c>
    </row>
    <row r="4" spans="1:14" x14ac:dyDescent="0.2">
      <c r="A4" s="2">
        <v>0.17</v>
      </c>
      <c r="B4" s="4">
        <v>122.907105647851</v>
      </c>
      <c r="C4" s="4">
        <v>143.71124039661001</v>
      </c>
      <c r="D4" s="4">
        <v>164.2228892140283</v>
      </c>
      <c r="E4" s="4">
        <v>184.4341421314821</v>
      </c>
      <c r="F4" s="4">
        <v>204.33694835912661</v>
      </c>
      <c r="G4" s="4">
        <v>223.92315342130129</v>
      </c>
      <c r="H4" s="4">
        <v>243.1845377397631</v>
      </c>
      <c r="I4" s="4">
        <v>262.11285644636268</v>
      </c>
      <c r="J4" s="4">
        <v>280.69988019276872</v>
      </c>
      <c r="K4" s="4">
        <v>298.93743671251099</v>
      </c>
      <c r="L4" s="4">
        <v>316.81745288024172</v>
      </c>
      <c r="M4" s="4">
        <v>334.33199700471619</v>
      </c>
      <c r="N4" s="4">
        <v>351.4733210857994</v>
      </c>
    </row>
    <row r="5" spans="1:14" x14ac:dyDescent="0.2">
      <c r="A5" s="2">
        <v>0.18</v>
      </c>
      <c r="B5" s="4">
        <v>110.5655375436597</v>
      </c>
      <c r="C5" s="4">
        <v>131.0115077092278</v>
      </c>
      <c r="D5" s="4">
        <v>151.154154124044</v>
      </c>
      <c r="E5" s="4">
        <v>170.987111535027</v>
      </c>
      <c r="F5" s="4">
        <v>190.50395898721581</v>
      </c>
      <c r="G5" s="4">
        <v>209.69824809698841</v>
      </c>
      <c r="H5" s="5">
        <v>228.5635320743927</v>
      </c>
      <c r="I5" s="4">
        <v>247.093395342283</v>
      </c>
      <c r="J5" s="4">
        <v>265.2814835932511</v>
      </c>
      <c r="K5" s="4">
        <v>283.12153411972031</v>
      </c>
      <c r="L5" s="4">
        <v>300.60740624814798</v>
      </c>
      <c r="M5" s="4">
        <v>317.73311170499318</v>
      </c>
      <c r="N5" s="4">
        <v>334.49284474032243</v>
      </c>
    </row>
    <row r="6" spans="1:14" x14ac:dyDescent="0.2">
      <c r="A6" s="2">
        <v>0.19</v>
      </c>
      <c r="B6" s="4">
        <v>96.770517765325621</v>
      </c>
      <c r="C6" s="4">
        <v>116.8886748733421</v>
      </c>
      <c r="D6" s="4">
        <v>136.6972638536588</v>
      </c>
      <c r="E6" s="4">
        <v>156.19120880276361</v>
      </c>
      <c r="F6" s="4">
        <v>175.36543041969591</v>
      </c>
      <c r="G6" s="4">
        <v>194.21486749075351</v>
      </c>
      <c r="H6" s="4">
        <v>212.73449873518331</v>
      </c>
      <c r="I6" s="4">
        <v>230.91936490635931</v>
      </c>
      <c r="J6" s="4">
        <v>248.7645910396925</v>
      </c>
      <c r="K6" s="4">
        <v>266.26540873619729</v>
      </c>
      <c r="L6" s="4">
        <v>283.41717836887602</v>
      </c>
      <c r="M6" s="4">
        <v>300.21541109809442</v>
      </c>
      <c r="N6" s="4">
        <v>316.65579058196698</v>
      </c>
    </row>
    <row r="7" spans="1:14" x14ac:dyDescent="0.2">
      <c r="A7" s="2">
        <f>Params!B6</f>
        <v>0.18</v>
      </c>
      <c r="B7" s="4">
        <v>81.713627624147193</v>
      </c>
      <c r="C7" s="4">
        <v>101.5343924279846</v>
      </c>
      <c r="D7" s="4">
        <v>121.0426570366612</v>
      </c>
      <c r="E7" s="4">
        <v>140.23441274396961</v>
      </c>
      <c r="F7" s="4">
        <v>159.10567883234779</v>
      </c>
      <c r="G7" s="4">
        <v>177.65251892490409</v>
      </c>
      <c r="H7" s="6">
        <v>195.87105748467229</v>
      </c>
      <c r="I7" s="4">
        <v>213.75749638778029</v>
      </c>
      <c r="J7" s="4">
        <v>231.30813149593749</v>
      </c>
      <c r="K7" s="4">
        <v>248.51936915267831</v>
      </c>
      <c r="L7" s="4">
        <v>265.38774252729399</v>
      </c>
      <c r="M7" s="4">
        <v>281.90992773039261</v>
      </c>
      <c r="N7" s="4">
        <v>298.08275962546492</v>
      </c>
    </row>
    <row r="8" spans="1:14" x14ac:dyDescent="0.2">
      <c r="A8" s="2">
        <v>0.21</v>
      </c>
      <c r="B8" s="4">
        <v>65.559199050778034</v>
      </c>
      <c r="C8" s="4">
        <v>85.11177505437422</v>
      </c>
      <c r="D8" s="4">
        <v>104.35129583236331</v>
      </c>
      <c r="E8" s="4">
        <v>123.27463269090779</v>
      </c>
      <c r="F8" s="4">
        <v>141.87870298307709</v>
      </c>
      <c r="G8" s="4">
        <v>160.16048259750031</v>
      </c>
      <c r="H8" s="4">
        <v>178.11701847849079</v>
      </c>
      <c r="I8" s="4">
        <v>195.74544112656889</v>
      </c>
      <c r="J8" s="4">
        <v>213.04297702775901</v>
      </c>
      <c r="K8" s="4">
        <v>230.00696095974939</v>
      </c>
      <c r="L8" s="4">
        <v>246.63484812316639</v>
      </c>
      <c r="M8" s="4">
        <v>262.92422604640677</v>
      </c>
      <c r="N8" s="4">
        <v>278.87282621319468</v>
      </c>
    </row>
    <row r="9" spans="1:14" x14ac:dyDescent="0.2">
      <c r="A9" s="2">
        <v>0.22</v>
      </c>
      <c r="B9" s="4">
        <v>48.447622224124423</v>
      </c>
      <c r="C9" s="4">
        <v>67.759349092851153</v>
      </c>
      <c r="D9" s="4">
        <v>86.759161016880853</v>
      </c>
      <c r="E9" s="4">
        <v>105.44465424221291</v>
      </c>
      <c r="F9" s="4">
        <v>123.8134806434748</v>
      </c>
      <c r="G9" s="4">
        <v>141.86335730381529</v>
      </c>
      <c r="H9" s="4">
        <v>159.59207606591261</v>
      </c>
      <c r="I9" s="4">
        <v>176.99751301816471</v>
      </c>
      <c r="J9" s="4">
        <v>194.07763788009561</v>
      </c>
      <c r="K9" s="4">
        <v>210.83052325093581</v>
      </c>
      <c r="L9" s="4">
        <v>227.25435368576089</v>
      </c>
      <c r="M9" s="4">
        <v>243.3474345638169</v>
      </c>
      <c r="N9" s="4">
        <v>259.10820071443231</v>
      </c>
    </row>
    <row r="10" spans="1:14" x14ac:dyDescent="0.2">
      <c r="A10" s="2">
        <v>0.23</v>
      </c>
      <c r="B10" s="4">
        <v>30.49873311804981</v>
      </c>
      <c r="C10" s="4">
        <v>49.594818366331758</v>
      </c>
      <c r="D10" s="4">
        <v>68.381326934151048</v>
      </c>
      <c r="E10" s="4">
        <v>86.856452652827784</v>
      </c>
      <c r="F10" s="4">
        <v>105.0184491997734</v>
      </c>
      <c r="G10" s="4">
        <v>122.8656374820066</v>
      </c>
      <c r="H10" s="4">
        <v>140.39641296154511</v>
      </c>
      <c r="I10" s="4">
        <v>157.6092528972101</v>
      </c>
      <c r="J10" s="4">
        <v>174.5027234775157</v>
      </c>
      <c r="K10" s="4">
        <v>191.0754868194208</v>
      </c>
      <c r="L10" s="4">
        <v>207.32630780808361</v>
      </c>
      <c r="M10" s="4">
        <v>223.25406075316661</v>
      </c>
      <c r="N10" s="4">
        <v>238.85773583774181</v>
      </c>
    </row>
    <row r="11" spans="1:14" x14ac:dyDescent="0.2">
      <c r="A11" s="2">
        <v>0.24</v>
      </c>
      <c r="B11" s="4">
        <v>11.81493924171218</v>
      </c>
      <c r="C11" s="4">
        <v>30.7184076847584</v>
      </c>
      <c r="D11" s="4">
        <v>49.31547220622997</v>
      </c>
      <c r="E11" s="4">
        <v>67.604820039288143</v>
      </c>
      <c r="F11" s="4">
        <v>85.585199121414917</v>
      </c>
      <c r="G11" s="4">
        <v>103.2554238121886</v>
      </c>
      <c r="H11" s="4">
        <v>120.6143805410486</v>
      </c>
      <c r="I11" s="4">
        <v>137.66103336688661</v>
      </c>
      <c r="J11" s="4">
        <v>154.3944294314413</v>
      </c>
      <c r="K11" s="4">
        <v>170.8137042886674</v>
      </c>
      <c r="L11" s="4">
        <v>186.91808709258771</v>
      </c>
      <c r="M11" s="4">
        <v>202.70690562646399</v>
      </c>
      <c r="N11" s="4">
        <v>218.17959115658849</v>
      </c>
    </row>
    <row r="12" spans="1:14" x14ac:dyDescent="0.2">
      <c r="A12" s="2">
        <f>A11+1%</f>
        <v>0.25</v>
      </c>
      <c r="B12" s="4">
        <v>-7.5160385124202094</v>
      </c>
      <c r="C12" s="4">
        <v>11.215725110504991</v>
      </c>
      <c r="D12" s="4">
        <v>29.644825848392429</v>
      </c>
      <c r="E12" s="4">
        <v>47.770359191304578</v>
      </c>
      <c r="F12" s="4">
        <v>65.59148012875994</v>
      </c>
      <c r="G12" s="4">
        <v>83.107407597651445</v>
      </c>
      <c r="H12" s="4">
        <v>100.3174288578314</v>
      </c>
      <c r="I12" s="4">
        <v>117.2209037821808</v>
      </c>
      <c r="J12" s="4">
        <v>133.81726904834611</v>
      </c>
      <c r="K12" s="4">
        <v>150.1060422193307</v>
      </c>
      <c r="L12" s="4">
        <v>166.08682570055731</v>
      </c>
      <c r="M12" s="4">
        <v>181.7593105612352</v>
      </c>
      <c r="N12" s="4">
        <v>197.1232802082327</v>
      </c>
    </row>
    <row r="15" spans="1:14" x14ac:dyDescent="0.2">
      <c r="A15" t="s">
        <v>14</v>
      </c>
    </row>
    <row r="16" spans="1:14" x14ac:dyDescent="0.2">
      <c r="B16" s="1">
        <v>0</v>
      </c>
      <c r="C16" s="1">
        <v>4.9999999999999984E-3</v>
      </c>
      <c r="D16" s="1">
        <v>9.9999999999999985E-3</v>
      </c>
      <c r="E16" s="1">
        <v>1.4999999999999999E-2</v>
      </c>
      <c r="F16" s="1">
        <v>0.02</v>
      </c>
      <c r="G16" s="1">
        <v>2.5000000000000001E-2</v>
      </c>
      <c r="H16" s="1">
        <v>0.03</v>
      </c>
      <c r="I16" s="1">
        <v>3.5000000000000003E-2</v>
      </c>
      <c r="J16" s="1">
        <v>0.04</v>
      </c>
      <c r="K16" s="1">
        <v>4.4999999999999998E-2</v>
      </c>
      <c r="L16" s="1">
        <v>0.05</v>
      </c>
      <c r="M16" s="1">
        <v>5.5E-2</v>
      </c>
      <c r="N16" s="1">
        <v>0.06</v>
      </c>
    </row>
    <row r="17" spans="1:14" x14ac:dyDescent="0.2">
      <c r="A17" s="2">
        <f>A18-1%</f>
        <v>0.15</v>
      </c>
      <c r="B17" s="3">
        <f t="shared" ref="B17:N27" si="0">B2/$H$5-1</f>
        <v>-0.37734989144537956</v>
      </c>
      <c r="C17" s="3">
        <f t="shared" si="0"/>
        <v>-0.28285623757419209</v>
      </c>
      <c r="D17" s="3">
        <f t="shared" si="0"/>
        <v>-0.18945400265770085</v>
      </c>
      <c r="E17" s="3">
        <f t="shared" si="0"/>
        <v>-9.7194859436195213E-2</v>
      </c>
      <c r="F17" s="3">
        <f t="shared" si="0"/>
        <v>-6.1326414993813083E-3</v>
      </c>
      <c r="G17" s="3">
        <f t="shared" si="0"/>
        <v>8.3676926710004818E-2</v>
      </c>
      <c r="H17" s="3">
        <f t="shared" si="0"/>
        <v>0.17217652150114238</v>
      </c>
      <c r="I17" s="3">
        <f t="shared" si="0"/>
        <v>0.25930753136444884</v>
      </c>
      <c r="J17" s="3">
        <f t="shared" si="0"/>
        <v>0.34501038618185231</v>
      </c>
      <c r="K17" s="3">
        <f t="shared" si="0"/>
        <v>0.42922490193029161</v>
      </c>
      <c r="L17" s="3">
        <f t="shared" si="0"/>
        <v>0.51189063836499726</v>
      </c>
      <c r="M17" s="3">
        <f t="shared" si="0"/>
        <v>0.59294726696564726</v>
      </c>
      <c r="N17" s="3">
        <f t="shared" si="0"/>
        <v>0.67233494625167545</v>
      </c>
    </row>
    <row r="18" spans="1:14" x14ac:dyDescent="0.2">
      <c r="A18" s="2">
        <v>0.16</v>
      </c>
      <c r="B18" s="3">
        <f t="shared" si="0"/>
        <v>-0.41559380759316122</v>
      </c>
      <c r="C18" s="3">
        <f t="shared" si="0"/>
        <v>-0.32288332183685786</v>
      </c>
      <c r="D18" s="3">
        <f t="shared" si="0"/>
        <v>-0.23137736156435973</v>
      </c>
      <c r="E18" s="3">
        <f t="shared" si="0"/>
        <v>-0.14111849908306018</v>
      </c>
      <c r="F18" s="3">
        <f t="shared" si="0"/>
        <v>-5.2150520101970965E-2</v>
      </c>
      <c r="G18" s="3">
        <f t="shared" si="0"/>
        <v>3.5481787885101035E-2</v>
      </c>
      <c r="H18" s="3">
        <f t="shared" si="0"/>
        <v>0.12173285903386821</v>
      </c>
      <c r="I18" s="3">
        <f t="shared" si="0"/>
        <v>0.20655658305986213</v>
      </c>
      <c r="J18" s="3">
        <f t="shared" si="0"/>
        <v>0.28990654815674088</v>
      </c>
      <c r="K18" s="3">
        <f t="shared" si="0"/>
        <v>0.37173629133938046</v>
      </c>
      <c r="L18" s="3">
        <f t="shared" si="0"/>
        <v>0.45199955452634821</v>
      </c>
      <c r="M18" s="3">
        <f t="shared" si="0"/>
        <v>0.53065054458838423</v>
      </c>
      <c r="N18" s="3">
        <f t="shared" si="0"/>
        <v>0.60764419551795523</v>
      </c>
    </row>
    <row r="19" spans="1:14" x14ac:dyDescent="0.2">
      <c r="A19" s="2">
        <v>0.17</v>
      </c>
      <c r="B19" s="3">
        <f t="shared" si="0"/>
        <v>-0.46226283549097724</v>
      </c>
      <c r="C19" s="3">
        <f t="shared" si="0"/>
        <v>-0.37124160143869767</v>
      </c>
      <c r="D19" s="3">
        <f t="shared" si="0"/>
        <v>-0.28150003754502206</v>
      </c>
      <c r="E19" s="3">
        <f t="shared" si="0"/>
        <v>-0.19307275111826405</v>
      </c>
      <c r="F19" s="3">
        <f t="shared" si="0"/>
        <v>-0.10599496558086452</v>
      </c>
      <c r="G19" s="3">
        <f t="shared" si="0"/>
        <v>-2.0302357996380027E-2</v>
      </c>
      <c r="H19" s="3">
        <f t="shared" si="0"/>
        <v>6.396910973799419E-2</v>
      </c>
      <c r="I19" s="3">
        <f t="shared" si="0"/>
        <v>0.14678336507790046</v>
      </c>
      <c r="J19" s="3">
        <f t="shared" si="0"/>
        <v>0.22810440338053017</v>
      </c>
      <c r="K19" s="3">
        <f t="shared" si="0"/>
        <v>0.30789646974484564</v>
      </c>
      <c r="L19" s="3">
        <f t="shared" si="0"/>
        <v>0.38612424302720427</v>
      </c>
      <c r="M19" s="3">
        <f t="shared" si="0"/>
        <v>0.46275302087954273</v>
      </c>
      <c r="N19" s="3">
        <f t="shared" si="0"/>
        <v>0.53774890463016689</v>
      </c>
    </row>
    <row r="20" spans="1:14" x14ac:dyDescent="0.2">
      <c r="A20" s="2">
        <v>0.18</v>
      </c>
      <c r="B20" s="3">
        <f t="shared" si="0"/>
        <v>-0.51625906136385358</v>
      </c>
      <c r="C20" s="3">
        <f t="shared" si="0"/>
        <v>-0.42680485149929226</v>
      </c>
      <c r="D20" s="3">
        <f t="shared" si="0"/>
        <v>-0.3386777288913857</v>
      </c>
      <c r="E20" s="3">
        <f t="shared" si="0"/>
        <v>-0.25190554248446673</v>
      </c>
      <c r="F20" s="3">
        <f t="shared" si="0"/>
        <v>-0.16651638492701137</v>
      </c>
      <c r="G20" s="3">
        <f t="shared" si="0"/>
        <v>-8.2538468872033532E-2</v>
      </c>
      <c r="H20" s="3">
        <f>H5/$H$5-1</f>
        <v>0</v>
      </c>
      <c r="I20" s="3">
        <f t="shared" si="0"/>
        <v>8.1070952569368027E-2</v>
      </c>
      <c r="J20" s="3">
        <f t="shared" si="0"/>
        <v>0.1606465877807115</v>
      </c>
      <c r="K20" s="3">
        <f t="shared" si="0"/>
        <v>0.23869950534177997</v>
      </c>
      <c r="L20" s="3">
        <f t="shared" si="0"/>
        <v>0.31520283887766709</v>
      </c>
      <c r="M20" s="3">
        <f t="shared" si="0"/>
        <v>0.39013038878650863</v>
      </c>
      <c r="N20" s="3">
        <f t="shared" si="0"/>
        <v>0.46345675403481223</v>
      </c>
    </row>
    <row r="21" spans="1:14" x14ac:dyDescent="0.2">
      <c r="A21" s="2">
        <v>0.19</v>
      </c>
      <c r="B21" s="3">
        <f t="shared" si="0"/>
        <v>-0.57661435799903193</v>
      </c>
      <c r="C21" s="3">
        <f t="shared" si="0"/>
        <v>-0.48859437980991105</v>
      </c>
      <c r="D21" s="3">
        <f t="shared" si="0"/>
        <v>-0.40192880897042371</v>
      </c>
      <c r="E21" s="3">
        <f t="shared" si="0"/>
        <v>-0.31663985332565381</v>
      </c>
      <c r="F21" s="3">
        <f t="shared" si="0"/>
        <v>-0.23274973558503598</v>
      </c>
      <c r="G21" s="3">
        <f t="shared" si="0"/>
        <v>-0.15028059932351501</v>
      </c>
      <c r="H21" s="3">
        <f t="shared" si="0"/>
        <v>-6.9254413403348036E-2</v>
      </c>
      <c r="I21" s="3">
        <f t="shared" si="0"/>
        <v>1.0307124721890659E-2</v>
      </c>
      <c r="J21" s="3">
        <f t="shared" si="0"/>
        <v>8.8382686345277461E-2</v>
      </c>
      <c r="K21" s="3">
        <f t="shared" si="0"/>
        <v>0.16495140900051108</v>
      </c>
      <c r="L21" s="3">
        <f t="shared" si="0"/>
        <v>0.23999299361820148</v>
      </c>
      <c r="M21" s="3">
        <f t="shared" si="0"/>
        <v>0.31348780084646455</v>
      </c>
      <c r="N21" s="3">
        <f t="shared" si="0"/>
        <v>0.38541694603713972</v>
      </c>
    </row>
    <row r="22" spans="1:14" x14ac:dyDescent="0.2">
      <c r="A22" s="2">
        <v>0.2</v>
      </c>
      <c r="B22" s="3">
        <f t="shared" si="0"/>
        <v>-0.64249052820223707</v>
      </c>
      <c r="C22" s="3">
        <f t="shared" si="0"/>
        <v>-0.5557716862944817</v>
      </c>
      <c r="D22" s="3">
        <f t="shared" si="0"/>
        <v>-0.47042007997468149</v>
      </c>
      <c r="E22" s="3">
        <f t="shared" si="0"/>
        <v>-0.38645324793840596</v>
      </c>
      <c r="F22" s="3">
        <f t="shared" si="0"/>
        <v>-0.30388860642667093</v>
      </c>
      <c r="G22" s="3">
        <f t="shared" si="0"/>
        <v>-0.22274337768335728</v>
      </c>
      <c r="H22" s="3">
        <f t="shared" si="0"/>
        <v>-0.1430345177684762</v>
      </c>
      <c r="I22" s="3">
        <f t="shared" si="0"/>
        <v>-6.4778644048051115E-2</v>
      </c>
      <c r="J22" s="3">
        <f t="shared" si="0"/>
        <v>1.200803731301936E-2</v>
      </c>
      <c r="K22" s="3">
        <f t="shared" si="0"/>
        <v>8.7309803524520335E-2</v>
      </c>
      <c r="L22" s="3">
        <f t="shared" si="0"/>
        <v>0.1611114866780925</v>
      </c>
      <c r="M22" s="3">
        <f t="shared" si="0"/>
        <v>0.23339854425524353</v>
      </c>
      <c r="N22" s="3">
        <f t="shared" si="0"/>
        <v>0.3041571283053377</v>
      </c>
    </row>
    <row r="23" spans="1:14" x14ac:dyDescent="0.2">
      <c r="A23" s="2">
        <v>0.21</v>
      </c>
      <c r="B23" s="3">
        <f t="shared" si="0"/>
        <v>-0.71316859493823426</v>
      </c>
      <c r="C23" s="3">
        <f t="shared" si="0"/>
        <v>-0.62762311956803285</v>
      </c>
      <c r="D23" s="3">
        <f t="shared" si="0"/>
        <v>-0.54344730812788145</v>
      </c>
      <c r="E23" s="3">
        <f t="shared" si="0"/>
        <v>-0.46065484912621824</v>
      </c>
      <c r="F23" s="3">
        <f t="shared" si="0"/>
        <v>-0.37925922960930392</v>
      </c>
      <c r="G23" s="3">
        <f t="shared" si="0"/>
        <v>-0.29927368052147796</v>
      </c>
      <c r="H23" s="3">
        <f t="shared" si="0"/>
        <v>-0.22071112192772124</v>
      </c>
      <c r="I23" s="3">
        <f t="shared" si="0"/>
        <v>-0.14358410832197932</v>
      </c>
      <c r="J23" s="3">
        <f t="shared" si="0"/>
        <v>-6.7904774247109834E-2</v>
      </c>
      <c r="K23" s="3">
        <f t="shared" si="0"/>
        <v>6.3152195464273309E-3</v>
      </c>
      <c r="L23" s="3">
        <f t="shared" si="0"/>
        <v>7.9064739176728516E-2</v>
      </c>
      <c r="M23" s="3">
        <f t="shared" si="0"/>
        <v>0.15033322971588658</v>
      </c>
      <c r="N23" s="3">
        <f t="shared" si="0"/>
        <v>0.22011076606231028</v>
      </c>
    </row>
    <row r="24" spans="1:14" x14ac:dyDescent="0.2">
      <c r="A24" s="2">
        <v>0.22</v>
      </c>
      <c r="B24" s="3">
        <f t="shared" si="0"/>
        <v>-0.78803432995445777</v>
      </c>
      <c r="C24" s="3">
        <f t="shared" si="0"/>
        <v>-0.70354260595344287</v>
      </c>
      <c r="D24" s="3">
        <f t="shared" si="0"/>
        <v>-0.6204155569811437</v>
      </c>
      <c r="E24" s="3">
        <f t="shared" si="0"/>
        <v>-0.53866369982463846</v>
      </c>
      <c r="F24" s="3">
        <f t="shared" si="0"/>
        <v>-0.4582973078873489</v>
      </c>
      <c r="G24" s="3">
        <f t="shared" si="0"/>
        <v>-0.37932636927556007</v>
      </c>
      <c r="H24" s="3">
        <f t="shared" si="0"/>
        <v>-0.30176054501131577</v>
      </c>
      <c r="I24" s="3">
        <f t="shared" si="0"/>
        <v>-0.22560912752890216</v>
      </c>
      <c r="J24" s="3">
        <f t="shared" si="0"/>
        <v>-0.15088099961227697</v>
      </c>
      <c r="K24" s="3">
        <f t="shared" si="0"/>
        <v>-7.7584593931131374E-2</v>
      </c>
      <c r="L24" s="3">
        <f t="shared" si="0"/>
        <v>-5.7278533314129021E-3</v>
      </c>
      <c r="M24" s="3">
        <f t="shared" si="0"/>
        <v>6.4681807964939608E-2</v>
      </c>
      <c r="N24" s="3">
        <f t="shared" si="0"/>
        <v>0.13363754209966427</v>
      </c>
    </row>
    <row r="25" spans="1:14" x14ac:dyDescent="0.2">
      <c r="A25" s="2">
        <v>0.23</v>
      </c>
      <c r="B25" s="3">
        <f t="shared" si="0"/>
        <v>-0.86656343275215442</v>
      </c>
      <c r="C25" s="3">
        <f t="shared" si="0"/>
        <v>-0.78301517343462446</v>
      </c>
      <c r="D25" s="3">
        <f t="shared" si="0"/>
        <v>-0.70082135888635833</v>
      </c>
      <c r="E25" s="3">
        <f t="shared" si="0"/>
        <v>-0.61998989136833171</v>
      </c>
      <c r="F25" s="3">
        <f t="shared" si="0"/>
        <v>-0.5405284113058243</v>
      </c>
      <c r="G25" s="3">
        <f t="shared" si="0"/>
        <v>-0.46244426498442281</v>
      </c>
      <c r="H25" s="3">
        <f t="shared" si="0"/>
        <v>-0.3857444725003244</v>
      </c>
      <c r="I25" s="3">
        <f t="shared" si="0"/>
        <v>-0.31043569607634713</v>
      </c>
      <c r="J25" s="3">
        <f t="shared" si="0"/>
        <v>-0.23652420885446124</v>
      </c>
      <c r="K25" s="3">
        <f t="shared" si="0"/>
        <v>-0.16401586427519121</v>
      </c>
      <c r="L25" s="3">
        <f t="shared" si="0"/>
        <v>-9.2916066152656462E-2</v>
      </c>
      <c r="M25" s="3">
        <f t="shared" si="0"/>
        <v>-2.3229739552230733E-2</v>
      </c>
      <c r="N25" s="3">
        <f t="shared" si="0"/>
        <v>4.5038697424393037E-2</v>
      </c>
    </row>
    <row r="26" spans="1:14" x14ac:dyDescent="0.2">
      <c r="A26" s="2">
        <v>0.24</v>
      </c>
      <c r="B26" s="3">
        <f t="shared" si="0"/>
        <v>-0.94830785499995396</v>
      </c>
      <c r="C26" s="3">
        <f t="shared" si="0"/>
        <v>-0.86560232331918896</v>
      </c>
      <c r="D26" s="3">
        <f t="shared" si="0"/>
        <v>-0.78423735510799331</v>
      </c>
      <c r="E26" s="3">
        <f t="shared" si="0"/>
        <v>-0.70421869391970993</v>
      </c>
      <c r="F26" s="3">
        <f t="shared" si="0"/>
        <v>-0.62555181771710322</v>
      </c>
      <c r="G26" s="3">
        <f t="shared" si="0"/>
        <v>-0.54824191385622667</v>
      </c>
      <c r="H26" s="3">
        <f t="shared" si="0"/>
        <v>-0.47229385437659788</v>
      </c>
      <c r="I26" s="3">
        <f t="shared" si="0"/>
        <v>-0.39771217167714756</v>
      </c>
      <c r="J26" s="3">
        <f t="shared" si="0"/>
        <v>-0.32450103465679248</v>
      </c>
      <c r="K26" s="3">
        <f t="shared" si="0"/>
        <v>-0.252664225397641</v>
      </c>
      <c r="L26" s="3">
        <f t="shared" si="0"/>
        <v>-0.18220511646735604</v>
      </c>
      <c r="M26" s="3">
        <f t="shared" si="0"/>
        <v>-0.1131266489157724</v>
      </c>
      <c r="N26" s="3">
        <f t="shared" si="0"/>
        <v>-4.543131103882514E-2</v>
      </c>
    </row>
    <row r="27" spans="1:14" x14ac:dyDescent="0.2">
      <c r="A27" s="2">
        <f>A26+1%</f>
        <v>0.25</v>
      </c>
      <c r="B27" s="3">
        <f t="shared" si="0"/>
        <v>-1.0328838045343729</v>
      </c>
      <c r="C27" s="3">
        <f t="shared" si="0"/>
        <v>-0.95092950739466831</v>
      </c>
      <c r="D27" s="3">
        <f t="shared" si="0"/>
        <v>-0.87029940612422962</v>
      </c>
      <c r="E27" s="3">
        <f t="shared" si="0"/>
        <v>-0.79099745809074951</v>
      </c>
      <c r="F27" s="3">
        <f t="shared" si="0"/>
        <v>-0.71302736034280711</v>
      </c>
      <c r="G27" s="3">
        <f t="shared" si="0"/>
        <v>-0.63639253014955288</v>
      </c>
      <c r="H27" s="3">
        <f t="shared" si="0"/>
        <v>-0.56109608585686299</v>
      </c>
      <c r="I27" s="3">
        <f t="shared" si="0"/>
        <v>-0.4871408281176377</v>
      </c>
      <c r="J27" s="3">
        <f t="shared" si="0"/>
        <v>-0.41452922155231942</v>
      </c>
      <c r="K27" s="3">
        <f t="shared" si="0"/>
        <v>-0.34326337689568831</v>
      </c>
      <c r="L27" s="3">
        <f t="shared" si="0"/>
        <v>-0.27334503368411589</v>
      </c>
      <c r="M27" s="3">
        <f t="shared" si="0"/>
        <v>-0.20477554353650651</v>
      </c>
      <c r="N27" s="3">
        <f t="shared" si="0"/>
        <v>-0.13755585408054882</v>
      </c>
    </row>
  </sheetData>
  <conditionalFormatting sqref="B17:N2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N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zoomScale="160" zoomScaleNormal="160" workbookViewId="0">
      <selection activeCell="G21" sqref="G21"/>
    </sheetView>
  </sheetViews>
  <sheetFormatPr baseColWidth="10" defaultColWidth="8.83203125" defaultRowHeight="15" x14ac:dyDescent="0.2"/>
  <sheetData>
    <row r="1" spans="1:14" x14ac:dyDescent="0.2">
      <c r="B1" s="1">
        <v>0</v>
      </c>
      <c r="C1" s="1">
        <v>4.9999999999999984E-3</v>
      </c>
      <c r="D1" s="1">
        <v>9.9999999999999985E-3</v>
      </c>
      <c r="E1" s="1">
        <v>1.4999999999999999E-2</v>
      </c>
      <c r="F1" s="1">
        <v>0.02</v>
      </c>
      <c r="G1" s="1">
        <v>2.5000000000000001E-2</v>
      </c>
      <c r="H1" s="1">
        <v>0.03</v>
      </c>
      <c r="I1" s="1">
        <v>3.5000000000000003E-2</v>
      </c>
      <c r="J1" s="1">
        <v>0.04</v>
      </c>
      <c r="K1" s="1">
        <v>4.4999999999999998E-2</v>
      </c>
      <c r="L1" s="1">
        <v>0.05</v>
      </c>
      <c r="M1" s="1">
        <v>5.5E-2</v>
      </c>
      <c r="N1" s="1">
        <v>0.06</v>
      </c>
    </row>
    <row r="2" spans="1:14" x14ac:dyDescent="0.2">
      <c r="A2" s="2">
        <v>0</v>
      </c>
      <c r="B2" s="4">
        <v>120.5188185814234</v>
      </c>
      <c r="C2" s="4">
        <v>137.6663620409295</v>
      </c>
      <c r="D2" s="4">
        <v>154.51085380267889</v>
      </c>
      <c r="E2" s="4">
        <v>171.052788442458</v>
      </c>
      <c r="F2" s="4">
        <v>187.29262458718449</v>
      </c>
      <c r="G2" s="4">
        <v>203.23078842684441</v>
      </c>
      <c r="H2" s="4">
        <v>218.86767766218961</v>
      </c>
      <c r="I2" s="4">
        <v>234.203665867273</v>
      </c>
      <c r="J2" s="4">
        <v>249.2391072433079</v>
      </c>
      <c r="K2" s="4">
        <v>263.97434173761172</v>
      </c>
      <c r="L2" s="4">
        <v>278.40970049914222</v>
      </c>
      <c r="M2" s="4">
        <v>292.54551163974429</v>
      </c>
      <c r="N2" s="4">
        <v>306.38210626838622</v>
      </c>
    </row>
    <row r="3" spans="1:14" x14ac:dyDescent="0.2">
      <c r="A3" s="2">
        <f t="shared" ref="A3:A12" si="0">A2+2%</f>
        <v>0.02</v>
      </c>
      <c r="B3" s="4">
        <v>119.8114076537383</v>
      </c>
      <c r="C3" s="4">
        <v>137.75762224271989</v>
      </c>
      <c r="D3" s="4">
        <v>155.39966000284329</v>
      </c>
      <c r="E3" s="4">
        <v>172.7364515575907</v>
      </c>
      <c r="F3" s="4">
        <v>189.76689828845161</v>
      </c>
      <c r="G3" s="4">
        <v>206.48988089606769</v>
      </c>
      <c r="H3" s="4">
        <v>222.90426835911279</v>
      </c>
      <c r="I3" s="4">
        <v>239.00892724741931</v>
      </c>
      <c r="J3" s="4">
        <v>254.80273134345131</v>
      </c>
      <c r="K3" s="4">
        <v>270.28457152392571</v>
      </c>
      <c r="L3" s="4">
        <v>285.45336585154661</v>
      </c>
      <c r="M3" s="4">
        <v>300.30806982511939</v>
      </c>
      <c r="N3" s="4">
        <v>314.84768673514009</v>
      </c>
    </row>
    <row r="4" spans="1:14" x14ac:dyDescent="0.2">
      <c r="A4" s="2">
        <f t="shared" si="0"/>
        <v>0.04</v>
      </c>
      <c r="B4" s="4">
        <v>117.97104819671451</v>
      </c>
      <c r="C4" s="4">
        <v>136.7291220547572</v>
      </c>
      <c r="D4" s="4">
        <v>155.18229700014649</v>
      </c>
      <c r="E4" s="4">
        <v>173.32787539459079</v>
      </c>
      <c r="F4" s="4">
        <v>191.16313160013209</v>
      </c>
      <c r="G4" s="4">
        <v>208.68532606668191</v>
      </c>
      <c r="H4" s="4">
        <v>225.89171983335609</v>
      </c>
      <c r="I4" s="4">
        <v>242.77958937323109</v>
      </c>
      <c r="J4" s="4">
        <v>259.34624170841238</v>
      </c>
      <c r="K4" s="4">
        <v>275.58902971989511</v>
      </c>
      <c r="L4" s="4">
        <v>291.50536757492267</v>
      </c>
      <c r="M4" s="4">
        <v>307.09274619309491</v>
      </c>
      <c r="N4" s="4">
        <v>322.34874867172471</v>
      </c>
    </row>
    <row r="5" spans="1:14" x14ac:dyDescent="0.2">
      <c r="A5" s="2">
        <f t="shared" si="0"/>
        <v>0.06</v>
      </c>
      <c r="B5" s="4">
        <v>114.9232471623729</v>
      </c>
      <c r="C5" s="4">
        <v>134.51273287837529</v>
      </c>
      <c r="D5" s="4">
        <v>153.79739608486261</v>
      </c>
      <c r="E5" s="4">
        <v>172.77279188086959</v>
      </c>
      <c r="F5" s="4">
        <v>191.43444032538699</v>
      </c>
      <c r="G5" s="4">
        <v>209.77784694478419</v>
      </c>
      <c r="H5" s="4">
        <v>227.798523751359</v>
      </c>
      <c r="I5" s="4">
        <v>245.49201066782479</v>
      </c>
      <c r="J5" s="4">
        <v>262.85389724864598</v>
      </c>
      <c r="K5" s="4">
        <v>279.87984458584128</v>
      </c>
      <c r="L5" s="4">
        <v>296.56560728448949</v>
      </c>
      <c r="M5" s="4">
        <v>312.90705539137122</v>
      </c>
      <c r="N5" s="4">
        <v>328.90019615938189</v>
      </c>
    </row>
    <row r="6" spans="1:14" x14ac:dyDescent="0.2">
      <c r="A6" s="2">
        <f t="shared" si="0"/>
        <v>0.08</v>
      </c>
      <c r="B6" s="4">
        <v>110.5655375436602</v>
      </c>
      <c r="C6" s="4">
        <v>131.0115077092278</v>
      </c>
      <c r="D6" s="4">
        <v>151.15415412404451</v>
      </c>
      <c r="E6" s="4">
        <v>170.9871115350268</v>
      </c>
      <c r="F6" s="4">
        <v>190.50395898721649</v>
      </c>
      <c r="G6" s="4">
        <v>209.69824809698841</v>
      </c>
      <c r="H6" s="7">
        <v>228.56353207439321</v>
      </c>
      <c r="I6" s="4">
        <v>247.09339534228209</v>
      </c>
      <c r="J6" s="4">
        <v>265.28148359325132</v>
      </c>
      <c r="K6" s="4">
        <v>283.12153411972031</v>
      </c>
      <c r="L6" s="4">
        <v>300.60740624814781</v>
      </c>
      <c r="M6" s="4">
        <v>317.73311170499318</v>
      </c>
      <c r="N6" s="4">
        <v>334.49284474032271</v>
      </c>
    </row>
    <row r="7" spans="1:14" x14ac:dyDescent="0.2">
      <c r="A7" s="2">
        <f t="shared" si="0"/>
        <v>0.1</v>
      </c>
      <c r="B7" s="4">
        <v>104.7662448162248</v>
      </c>
      <c r="C7" s="4">
        <v>126.0978859066031</v>
      </c>
      <c r="D7" s="4">
        <v>147.13004128352529</v>
      </c>
      <c r="E7" s="4">
        <v>167.85420257521329</v>
      </c>
      <c r="F7" s="4">
        <v>188.26176232457991</v>
      </c>
      <c r="G7" s="4">
        <v>208.344051823635</v>
      </c>
      <c r="H7" s="4">
        <v>228.09238019027569</v>
      </c>
      <c r="I7" s="4">
        <v>247.49807447116609</v>
      </c>
      <c r="J7" s="4">
        <v>266.55252054165629</v>
      </c>
      <c r="K7" s="4">
        <v>285.24720456240772</v>
      </c>
      <c r="L7" s="4">
        <v>303.57375474314608</v>
      </c>
      <c r="M7" s="4">
        <v>321.5239831565425</v>
      </c>
      <c r="N7" s="4">
        <v>339.0899273400405</v>
      </c>
    </row>
    <row r="8" spans="1:14" x14ac:dyDescent="0.2">
      <c r="A8" s="2">
        <f t="shared" si="0"/>
        <v>0.12000000000000001</v>
      </c>
      <c r="B8" s="4">
        <v>97.363996304043667</v>
      </c>
      <c r="C8" s="4">
        <v>119.61222058194031</v>
      </c>
      <c r="D8" s="4">
        <v>141.568432138021</v>
      </c>
      <c r="E8" s="4">
        <v>163.2217219386076</v>
      </c>
      <c r="F8" s="4">
        <v>184.56100092192241</v>
      </c>
      <c r="G8" s="4">
        <v>205.57504947864459</v>
      </c>
      <c r="H8" s="4">
        <v>226.2525691358444</v>
      </c>
      <c r="I8" s="4">
        <v>246.58223614533969</v>
      </c>
      <c r="J8" s="4">
        <v>266.55275665171803</v>
      </c>
      <c r="K8" s="4">
        <v>286.15292309168012</v>
      </c>
      <c r="L8" s="4">
        <v>305.37167145578837</v>
      </c>
      <c r="M8" s="4">
        <v>324.19813902609121</v>
      </c>
      <c r="N8" s="4">
        <v>342.62172218914429</v>
      </c>
    </row>
    <row r="9" spans="1:14" x14ac:dyDescent="0.2">
      <c r="A9" s="2">
        <f t="shared" si="0"/>
        <v>0.14000000000000001</v>
      </c>
      <c r="B9" s="4">
        <v>88.169711217327745</v>
      </c>
      <c r="C9" s="4">
        <v>111.3631311099624</v>
      </c>
      <c r="D9" s="4">
        <v>134.27741348359251</v>
      </c>
      <c r="E9" s="4">
        <v>156.89899491903051</v>
      </c>
      <c r="F9" s="4">
        <v>179.21399010136099</v>
      </c>
      <c r="G9" s="4">
        <v>201.20825471195451</v>
      </c>
      <c r="H9" s="4">
        <v>222.86745233389499</v>
      </c>
      <c r="I9" s="4">
        <v>244.17712498174839</v>
      </c>
      <c r="J9" s="4">
        <v>265.12276681337153</v>
      </c>
      <c r="K9" s="4">
        <v>285.68990053116681</v>
      </c>
      <c r="L9" s="4">
        <v>305.86415593403848</v>
      </c>
      <c r="M9" s="4">
        <v>325.63135003961679</v>
      </c>
      <c r="N9" s="4">
        <v>344.97756816050611</v>
      </c>
    </row>
    <row r="10" spans="1:14" x14ac:dyDescent="0.2">
      <c r="A10" s="2">
        <f t="shared" si="0"/>
        <v>0.16</v>
      </c>
      <c r="B10" s="4">
        <v>76.974352631370721</v>
      </c>
      <c r="C10" s="4">
        <v>101.13265730815201</v>
      </c>
      <c r="D10" s="4">
        <v>125.0323930373274</v>
      </c>
      <c r="E10" s="4">
        <v>148.6571793963501</v>
      </c>
      <c r="F10" s="4">
        <v>171.99007636878639</v>
      </c>
      <c r="G10" s="4">
        <v>195.01366034377759</v>
      </c>
      <c r="H10" s="4">
        <v>217.71010743555919</v>
      </c>
      <c r="I10" s="4">
        <v>240.06128369163059</v>
      </c>
      <c r="J10" s="4">
        <v>262.04884164927012</v>
      </c>
      <c r="K10" s="4">
        <v>283.65432259276082</v>
      </c>
      <c r="L10" s="4">
        <v>304.85926376066141</v>
      </c>
      <c r="M10" s="4">
        <v>325.64530965502672</v>
      </c>
      <c r="N10" s="4">
        <v>345.9943265152699</v>
      </c>
    </row>
    <row r="11" spans="1:14" x14ac:dyDescent="0.2">
      <c r="A11" s="2">
        <f t="shared" si="0"/>
        <v>0.18</v>
      </c>
      <c r="B11" s="4">
        <v>63.568354963438942</v>
      </c>
      <c r="C11" s="4">
        <v>88.69186519457503</v>
      </c>
      <c r="D11" s="4">
        <v>113.5877642610114</v>
      </c>
      <c r="E11" s="4">
        <v>138.23696248381029</v>
      </c>
      <c r="F11" s="4">
        <v>162.61943048077001</v>
      </c>
      <c r="G11" s="4">
        <v>186.71428149980341</v>
      </c>
      <c r="H11" s="4">
        <v>210.49986682924521</v>
      </c>
      <c r="I11" s="4">
        <v>233.95388404693321</v>
      </c>
      <c r="J11" s="4">
        <v>257.05349765397932</v>
      </c>
      <c r="K11" s="4">
        <v>279.77547141582193</v>
      </c>
      <c r="L11" s="4">
        <v>302.09631150727978</v>
      </c>
      <c r="M11" s="4">
        <v>323.99241933425759</v>
      </c>
      <c r="N11" s="4">
        <v>345.44025268801738</v>
      </c>
    </row>
    <row r="12" spans="1:14" x14ac:dyDescent="0.2">
      <c r="A12" s="2">
        <f t="shared" si="0"/>
        <v>0.19999999999999998</v>
      </c>
      <c r="B12" s="4">
        <v>47.782407580259417</v>
      </c>
      <c r="C12" s="4">
        <v>73.836818836400539</v>
      </c>
      <c r="D12" s="4">
        <v>99.707463606500653</v>
      </c>
      <c r="E12" s="4">
        <v>125.37325190877969</v>
      </c>
      <c r="F12" s="4">
        <v>150.8115868211473</v>
      </c>
      <c r="G12" s="4">
        <v>175.99843008821099</v>
      </c>
      <c r="H12" s="4">
        <v>200.90838982913479</v>
      </c>
      <c r="I12" s="4">
        <v>225.51483107501519</v>
      </c>
      <c r="J12" s="4">
        <v>249.7900094777124</v>
      </c>
      <c r="K12" s="4">
        <v>273.70522810022038</v>
      </c>
      <c r="L12" s="4">
        <v>297.23101673033909</v>
      </c>
      <c r="M12" s="4">
        <v>320.33733266404471</v>
      </c>
      <c r="N12" s="4">
        <v>342.99378139497458</v>
      </c>
    </row>
    <row r="15" spans="1:14" x14ac:dyDescent="0.2">
      <c r="A15" t="s">
        <v>12</v>
      </c>
    </row>
    <row r="16" spans="1:14" x14ac:dyDescent="0.2">
      <c r="B16" s="1">
        <v>0</v>
      </c>
      <c r="C16" s="1">
        <v>4.9999999999999984E-3</v>
      </c>
      <c r="D16" s="1">
        <v>9.9999999999999985E-3</v>
      </c>
      <c r="E16" s="1">
        <v>1.4999999999999999E-2</v>
      </c>
      <c r="F16" s="1">
        <v>0.02</v>
      </c>
      <c r="G16" s="1">
        <v>2.5000000000000001E-2</v>
      </c>
      <c r="H16" s="1">
        <v>0.03</v>
      </c>
      <c r="I16" s="1">
        <v>3.5000000000000003E-2</v>
      </c>
      <c r="J16" s="1">
        <v>0.04</v>
      </c>
      <c r="K16" s="1">
        <v>4.4999999999999998E-2</v>
      </c>
      <c r="L16" s="1">
        <v>0.05</v>
      </c>
      <c r="M16" s="1">
        <v>5.5E-2</v>
      </c>
      <c r="N16" s="1">
        <v>0.06</v>
      </c>
    </row>
    <row r="17" spans="1:14" x14ac:dyDescent="0.2">
      <c r="A17" s="2">
        <v>0</v>
      </c>
      <c r="B17" s="3">
        <f t="shared" ref="B17:N27" si="1">B2/$H$6-1</f>
        <v>-0.47271195239406449</v>
      </c>
      <c r="C17" s="3">
        <f t="shared" si="1"/>
        <v>-0.39768885792278685</v>
      </c>
      <c r="D17" s="3">
        <f t="shared" si="1"/>
        <v>-0.32399166043518934</v>
      </c>
      <c r="E17" s="3">
        <f t="shared" si="1"/>
        <v>-0.25161819608745162</v>
      </c>
      <c r="F17" s="3">
        <f t="shared" si="1"/>
        <v>-0.18056645831748785</v>
      </c>
      <c r="G17" s="3">
        <f t="shared" si="1"/>
        <v>-0.1108345824796908</v>
      </c>
      <c r="H17" s="3">
        <f t="shared" si="1"/>
        <v>-4.2420828573159208E-2</v>
      </c>
      <c r="I17" s="3">
        <f t="shared" si="1"/>
        <v>2.4676437845054133E-2</v>
      </c>
      <c r="J17" s="3">
        <f t="shared" si="1"/>
        <v>9.045876645879436E-2</v>
      </c>
      <c r="K17" s="3">
        <f t="shared" si="1"/>
        <v>0.15492764458895802</v>
      </c>
      <c r="L17" s="3">
        <f t="shared" si="1"/>
        <v>0.21808452106228837</v>
      </c>
      <c r="M17" s="3">
        <f t="shared" si="1"/>
        <v>0.27993083141770025</v>
      </c>
      <c r="N17" s="3">
        <f t="shared" si="1"/>
        <v>0.34046802430697687</v>
      </c>
    </row>
    <row r="18" spans="1:14" x14ac:dyDescent="0.2">
      <c r="A18" s="2">
        <f t="shared" ref="A18:A27" si="2">A17+2%</f>
        <v>0.02</v>
      </c>
      <c r="B18" s="3">
        <f t="shared" si="1"/>
        <v>-0.47580698212721928</v>
      </c>
      <c r="C18" s="3">
        <f t="shared" si="1"/>
        <v>-0.39728958074605569</v>
      </c>
      <c r="D18" s="3">
        <f t="shared" si="1"/>
        <v>-0.32010299896720373</v>
      </c>
      <c r="E18" s="3">
        <f t="shared" si="1"/>
        <v>-0.24425191547456415</v>
      </c>
      <c r="F18" s="3">
        <f t="shared" si="1"/>
        <v>-0.16974113689017545</v>
      </c>
      <c r="G18" s="3">
        <f t="shared" si="1"/>
        <v>-9.6575560317911702E-2</v>
      </c>
      <c r="H18" s="3">
        <f t="shared" si="1"/>
        <v>-2.4760134147027602E-2</v>
      </c>
      <c r="I18" s="3">
        <f t="shared" si="1"/>
        <v>4.570018269417675E-2</v>
      </c>
      <c r="J18" s="3">
        <f t="shared" si="1"/>
        <v>0.11480046283375489</v>
      </c>
      <c r="K18" s="3">
        <f t="shared" si="1"/>
        <v>0.18253585368969993</v>
      </c>
      <c r="L18" s="3">
        <f t="shared" si="1"/>
        <v>0.24890162162280904</v>
      </c>
      <c r="M18" s="3">
        <f t="shared" si="1"/>
        <v>0.31389319678248007</v>
      </c>
      <c r="N18" s="3">
        <f t="shared" si="1"/>
        <v>0.37750621841398124</v>
      </c>
    </row>
    <row r="19" spans="1:14" x14ac:dyDescent="0.2">
      <c r="A19" s="2">
        <f t="shared" si="2"/>
        <v>0.04</v>
      </c>
      <c r="B19" s="3">
        <f t="shared" si="1"/>
        <v>-0.483858832920393</v>
      </c>
      <c r="C19" s="3">
        <f t="shared" si="1"/>
        <v>-0.40178942452528077</v>
      </c>
      <c r="D19" s="3">
        <f t="shared" si="1"/>
        <v>-0.32105399495822662</v>
      </c>
      <c r="E19" s="3">
        <f t="shared" si="1"/>
        <v>-0.24166434679450188</v>
      </c>
      <c r="F19" s="3">
        <f t="shared" si="1"/>
        <v>-0.16363240511215049</v>
      </c>
      <c r="G19" s="3">
        <f t="shared" si="1"/>
        <v>-8.6970155856890163E-2</v>
      </c>
      <c r="H19" s="3">
        <f t="shared" si="1"/>
        <v>-1.1689582396580578E-2</v>
      </c>
      <c r="I19" s="3">
        <f t="shared" si="1"/>
        <v>6.2197399426829003E-2</v>
      </c>
      <c r="J19" s="3">
        <f t="shared" si="1"/>
        <v>0.13467900742800887</v>
      </c>
      <c r="K19" s="3">
        <f t="shared" si="1"/>
        <v>0.20574366006120326</v>
      </c>
      <c r="L19" s="3">
        <f t="shared" si="1"/>
        <v>0.27538004391725557</v>
      </c>
      <c r="M19" s="3">
        <f t="shared" si="1"/>
        <v>0.34357718139016979</v>
      </c>
      <c r="N19" s="3">
        <f t="shared" si="1"/>
        <v>0.4103244981653773</v>
      </c>
    </row>
    <row r="20" spans="1:14" x14ac:dyDescent="0.2">
      <c r="A20" s="2">
        <f t="shared" si="2"/>
        <v>0.06</v>
      </c>
      <c r="B20" s="3">
        <f t="shared" si="1"/>
        <v>-0.49719342311805237</v>
      </c>
      <c r="C20" s="3">
        <f t="shared" si="1"/>
        <v>-0.41148646217720386</v>
      </c>
      <c r="D20" s="3">
        <f t="shared" si="1"/>
        <v>-0.32711314578913486</v>
      </c>
      <c r="E20" s="3">
        <f t="shared" si="1"/>
        <v>-0.24409292106741143</v>
      </c>
      <c r="F20" s="3">
        <f t="shared" si="1"/>
        <v>-0.16244538843108791</v>
      </c>
      <c r="G20" s="3">
        <f t="shared" si="1"/>
        <v>-8.2190211881634001E-2</v>
      </c>
      <c r="H20" s="3">
        <f t="shared" si="1"/>
        <v>-3.3470270436021243E-3</v>
      </c>
      <c r="I20" s="3">
        <f t="shared" si="1"/>
        <v>7.4064652570742018E-2</v>
      </c>
      <c r="J20" s="3">
        <f t="shared" si="1"/>
        <v>0.15002553059554535</v>
      </c>
      <c r="K20" s="3">
        <f t="shared" si="1"/>
        <v>0.22451662365256753</v>
      </c>
      <c r="L20" s="3">
        <f t="shared" si="1"/>
        <v>0.29751935749734071</v>
      </c>
      <c r="M20" s="3">
        <f t="shared" si="1"/>
        <v>0.3690156629602912</v>
      </c>
      <c r="N20" s="3">
        <f t="shared" si="1"/>
        <v>0.43898807116933658</v>
      </c>
    </row>
    <row r="21" spans="1:14" x14ac:dyDescent="0.2">
      <c r="A21" s="2">
        <f t="shared" si="2"/>
        <v>0.08</v>
      </c>
      <c r="B21" s="3">
        <f t="shared" si="1"/>
        <v>-0.51625906136385247</v>
      </c>
      <c r="C21" s="3">
        <f t="shared" si="1"/>
        <v>-0.42680485149929359</v>
      </c>
      <c r="D21" s="3">
        <f t="shared" si="1"/>
        <v>-0.33867772889138492</v>
      </c>
      <c r="E21" s="3">
        <f t="shared" si="1"/>
        <v>-0.25190554248446928</v>
      </c>
      <c r="F21" s="3">
        <f t="shared" si="1"/>
        <v>-0.16651638492701026</v>
      </c>
      <c r="G21" s="3">
        <f t="shared" si="1"/>
        <v>-8.2538468872035531E-2</v>
      </c>
      <c r="H21" s="3">
        <f>H6/$H$6-1</f>
        <v>0</v>
      </c>
      <c r="I21" s="3">
        <f t="shared" si="1"/>
        <v>8.1070952569361587E-2</v>
      </c>
      <c r="J21" s="3">
        <f t="shared" si="1"/>
        <v>0.16064658778070995</v>
      </c>
      <c r="K21" s="3">
        <f t="shared" si="1"/>
        <v>0.23869950534177731</v>
      </c>
      <c r="L21" s="3">
        <f t="shared" si="1"/>
        <v>0.31520283887766332</v>
      </c>
      <c r="M21" s="3">
        <f t="shared" si="1"/>
        <v>0.39013038878650552</v>
      </c>
      <c r="N21" s="3">
        <f t="shared" si="1"/>
        <v>0.46345675403481024</v>
      </c>
    </row>
    <row r="22" spans="1:14" x14ac:dyDescent="0.2">
      <c r="A22" s="2">
        <f t="shared" si="2"/>
        <v>0.1</v>
      </c>
      <c r="B22" s="3">
        <f t="shared" si="1"/>
        <v>-0.5416318436043186</v>
      </c>
      <c r="C22" s="3">
        <f t="shared" si="1"/>
        <v>-0.44830268957534058</v>
      </c>
      <c r="D22" s="3">
        <f t="shared" si="1"/>
        <v>-0.35628383080973225</v>
      </c>
      <c r="E22" s="3">
        <f t="shared" si="1"/>
        <v>-0.26561249272005538</v>
      </c>
      <c r="F22" s="3">
        <f t="shared" si="1"/>
        <v>-0.17632633423207611</v>
      </c>
      <c r="G22" s="3">
        <f t="shared" si="1"/>
        <v>-8.8463282253518627E-2</v>
      </c>
      <c r="H22" s="3">
        <f t="shared" si="1"/>
        <v>-2.0613607072023088E-3</v>
      </c>
      <c r="I22" s="3">
        <f t="shared" si="1"/>
        <v>8.2841484925119335E-2</v>
      </c>
      <c r="J22" s="3">
        <f t="shared" si="1"/>
        <v>0.16620756654608559</v>
      </c>
      <c r="K22" s="3">
        <f t="shared" si="1"/>
        <v>0.24799963482173104</v>
      </c>
      <c r="L22" s="3">
        <f t="shared" si="1"/>
        <v>0.3281810619042167</v>
      </c>
      <c r="M22" s="3">
        <f t="shared" si="1"/>
        <v>0.40671602437388121</v>
      </c>
      <c r="N22" s="3">
        <f t="shared" si="1"/>
        <v>0.48356968525352073</v>
      </c>
    </row>
    <row r="23" spans="1:14" x14ac:dyDescent="0.2">
      <c r="A23" s="2">
        <f t="shared" si="2"/>
        <v>0.12000000000000001</v>
      </c>
      <c r="B23" s="3">
        <f t="shared" si="1"/>
        <v>-0.57401779968838818</v>
      </c>
      <c r="C23" s="3">
        <f t="shared" si="1"/>
        <v>-0.47667845567328415</v>
      </c>
      <c r="D23" s="3">
        <f t="shared" si="1"/>
        <v>-0.380616711453588</v>
      </c>
      <c r="E23" s="3">
        <f t="shared" si="1"/>
        <v>-0.28588029570053219</v>
      </c>
      <c r="F23" s="3">
        <f t="shared" si="1"/>
        <v>-0.19251772473549622</v>
      </c>
      <c r="G23" s="3">
        <f t="shared" si="1"/>
        <v>-0.10057808604509266</v>
      </c>
      <c r="H23" s="3">
        <f t="shared" si="1"/>
        <v>-1.011081215614329E-2</v>
      </c>
      <c r="I23" s="3">
        <f t="shared" si="1"/>
        <v>7.8834553821480746E-2</v>
      </c>
      <c r="J23" s="3">
        <f t="shared" si="1"/>
        <v>0.16620859956329359</v>
      </c>
      <c r="K23" s="3">
        <f t="shared" si="1"/>
        <v>0.2519622902858476</v>
      </c>
      <c r="L23" s="3">
        <f t="shared" si="1"/>
        <v>0.33604721927553838</v>
      </c>
      <c r="M23" s="3">
        <f t="shared" si="1"/>
        <v>0.41841586049943746</v>
      </c>
      <c r="N23" s="3">
        <f t="shared" si="1"/>
        <v>0.49902182154599917</v>
      </c>
    </row>
    <row r="24" spans="1:14" x14ac:dyDescent="0.2">
      <c r="A24" s="2">
        <f t="shared" si="2"/>
        <v>0.14000000000000001</v>
      </c>
      <c r="B24" s="3">
        <f t="shared" si="1"/>
        <v>-0.61424418665078151</v>
      </c>
      <c r="C24" s="3">
        <f t="shared" si="1"/>
        <v>-0.51276946895572229</v>
      </c>
      <c r="D24" s="3">
        <f t="shared" si="1"/>
        <v>-0.41251602009769572</v>
      </c>
      <c r="E24" s="3">
        <f t="shared" si="1"/>
        <v>-0.31354318208574594</v>
      </c>
      <c r="F24" s="3">
        <f t="shared" si="1"/>
        <v>-0.21591170527138093</v>
      </c>
      <c r="G24" s="3">
        <f t="shared" si="1"/>
        <v>-0.11968347318650585</v>
      </c>
      <c r="H24" s="3">
        <f t="shared" si="1"/>
        <v>-2.4921209822064916E-2</v>
      </c>
      <c r="I24" s="3">
        <f t="shared" si="1"/>
        <v>6.8311828950356146E-2</v>
      </c>
      <c r="J24" s="3">
        <f t="shared" si="1"/>
        <v>0.15995217787883576</v>
      </c>
      <c r="K24" s="3">
        <f t="shared" si="1"/>
        <v>0.24993649659815387</v>
      </c>
      <c r="L24" s="3">
        <f t="shared" si="1"/>
        <v>0.33820191330647331</v>
      </c>
      <c r="M24" s="3">
        <f t="shared" si="1"/>
        <v>0.42468637531218145</v>
      </c>
      <c r="N24" s="3">
        <f t="shared" si="1"/>
        <v>0.50932900375472978</v>
      </c>
    </row>
    <row r="25" spans="1:14" x14ac:dyDescent="0.2">
      <c r="A25" s="2">
        <f t="shared" si="2"/>
        <v>0.16</v>
      </c>
      <c r="B25" s="3">
        <f t="shared" si="1"/>
        <v>-0.66322557263283377</v>
      </c>
      <c r="C25" s="3">
        <f t="shared" si="1"/>
        <v>-0.55752933816565631</v>
      </c>
      <c r="D25" s="3">
        <f t="shared" si="1"/>
        <v>-0.45296438192672106</v>
      </c>
      <c r="E25" s="3">
        <f t="shared" si="1"/>
        <v>-0.34960237074055656</v>
      </c>
      <c r="F25" s="3">
        <f t="shared" si="1"/>
        <v>-0.24751741973952868</v>
      </c>
      <c r="G25" s="3">
        <f t="shared" si="1"/>
        <v>-0.14678575985470754</v>
      </c>
      <c r="H25" s="3">
        <f t="shared" si="1"/>
        <v>-4.7485373280377163E-2</v>
      </c>
      <c r="I25" s="3">
        <f t="shared" si="1"/>
        <v>5.030440120034152E-2</v>
      </c>
      <c r="J25" s="3">
        <f t="shared" si="1"/>
        <v>0.14650329066483825</v>
      </c>
      <c r="K25" s="3">
        <f t="shared" si="1"/>
        <v>0.24103053544183317</v>
      </c>
      <c r="L25" s="3">
        <f t="shared" si="1"/>
        <v>0.33380535815939072</v>
      </c>
      <c r="M25" s="3">
        <f t="shared" si="1"/>
        <v>0.42474745073958342</v>
      </c>
      <c r="N25" s="3">
        <f t="shared" si="1"/>
        <v>0.51377747523894213</v>
      </c>
    </row>
    <row r="26" spans="1:14" x14ac:dyDescent="0.2">
      <c r="A26" s="2">
        <f t="shared" si="2"/>
        <v>0.18</v>
      </c>
      <c r="B26" s="3">
        <f t="shared" si="1"/>
        <v>-0.72187883873465597</v>
      </c>
      <c r="C26" s="3">
        <f t="shared" si="1"/>
        <v>-0.61195968407721546</v>
      </c>
      <c r="D26" s="3">
        <f t="shared" si="1"/>
        <v>-0.50303636266856133</v>
      </c>
      <c r="E26" s="3">
        <f t="shared" si="1"/>
        <v>-0.39519239473943413</v>
      </c>
      <c r="F26" s="3">
        <f t="shared" si="1"/>
        <v>-0.28851541186438967</v>
      </c>
      <c r="G26" s="3">
        <f t="shared" si="1"/>
        <v>-0.18309679674082324</v>
      </c>
      <c r="H26" s="3">
        <f t="shared" si="1"/>
        <v>-7.903126575445385E-2</v>
      </c>
      <c r="I26" s="3">
        <f t="shared" si="1"/>
        <v>2.3583604626767674E-2</v>
      </c>
      <c r="J26" s="3">
        <f t="shared" si="1"/>
        <v>0.12464790564364026</v>
      </c>
      <c r="K26" s="3">
        <f t="shared" si="1"/>
        <v>0.22405997525782095</v>
      </c>
      <c r="L26" s="3">
        <f t="shared" si="1"/>
        <v>0.32171702443307093</v>
      </c>
      <c r="M26" s="3">
        <f t="shared" si="1"/>
        <v>0.41751580575331704</v>
      </c>
      <c r="N26" s="3">
        <f t="shared" si="1"/>
        <v>0.51135331849694632</v>
      </c>
    </row>
    <row r="27" spans="1:14" x14ac:dyDescent="0.2">
      <c r="A27" s="2">
        <f t="shared" si="2"/>
        <v>0.19999999999999998</v>
      </c>
      <c r="B27" s="3">
        <f t="shared" si="1"/>
        <v>-0.79094474456796926</v>
      </c>
      <c r="C27" s="3">
        <f t="shared" si="1"/>
        <v>-0.67695275722127002</v>
      </c>
      <c r="D27" s="3">
        <f t="shared" si="1"/>
        <v>-0.56376477602714103</v>
      </c>
      <c r="E27" s="3">
        <f t="shared" si="1"/>
        <v>-0.45147307284360216</v>
      </c>
      <c r="F27" s="3">
        <f t="shared" si="1"/>
        <v>-0.34017651262030324</v>
      </c>
      <c r="G27" s="3">
        <f t="shared" si="1"/>
        <v>-0.22998026635794744</v>
      </c>
      <c r="H27" s="3">
        <f t="shared" si="1"/>
        <v>-0.12099542737315239</v>
      </c>
      <c r="I27" s="3">
        <f t="shared" si="1"/>
        <v>-1.3338527680722523E-2</v>
      </c>
      <c r="J27" s="3">
        <f t="shared" si="1"/>
        <v>9.2869047002696714E-2</v>
      </c>
      <c r="K27" s="3">
        <f t="shared" si="1"/>
        <v>0.19750174324018754</v>
      </c>
      <c r="L27" s="3">
        <f t="shared" si="1"/>
        <v>0.3004306243989785</v>
      </c>
      <c r="M27" s="3">
        <f t="shared" si="1"/>
        <v>0.40152424910803708</v>
      </c>
      <c r="N27" s="3">
        <f t="shared" si="1"/>
        <v>0.50064963680792451</v>
      </c>
    </row>
  </sheetData>
  <conditionalFormatting sqref="B17:N2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N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"/>
  <sheetViews>
    <sheetView zoomScale="160" zoomScaleNormal="160" workbookViewId="0">
      <selection activeCell="E21" sqref="E21"/>
    </sheetView>
  </sheetViews>
  <sheetFormatPr baseColWidth="10" defaultColWidth="8.83203125" defaultRowHeight="15" x14ac:dyDescent="0.2"/>
  <sheetData>
    <row r="1" spans="1:12" x14ac:dyDescent="0.2">
      <c r="B1" s="1">
        <v>0.15</v>
      </c>
      <c r="C1" s="1">
        <v>0.16</v>
      </c>
      <c r="D1" s="1">
        <v>0.17</v>
      </c>
      <c r="E1" s="1">
        <v>0.18</v>
      </c>
      <c r="F1" s="1">
        <v>0.19</v>
      </c>
      <c r="G1" s="1">
        <v>0.2</v>
      </c>
      <c r="H1" s="1">
        <v>0.21</v>
      </c>
      <c r="I1" s="1">
        <v>0.22</v>
      </c>
      <c r="J1" s="1">
        <v>0.23</v>
      </c>
      <c r="K1" s="1">
        <v>0.24</v>
      </c>
      <c r="L1" s="1">
        <v>0.25</v>
      </c>
    </row>
    <row r="2" spans="1:12" x14ac:dyDescent="0.2">
      <c r="A2" s="2">
        <v>0</v>
      </c>
      <c r="B2" s="4">
        <v>261.83031006405531</v>
      </c>
      <c r="C2" s="4">
        <v>248.8082217474321</v>
      </c>
      <c r="D2" s="4">
        <v>234.42494554538831</v>
      </c>
      <c r="E2" s="4">
        <v>218.86767766218961</v>
      </c>
      <c r="F2" s="4">
        <v>202.2935395164304</v>
      </c>
      <c r="G2" s="4">
        <v>184.83482742823679</v>
      </c>
      <c r="H2" s="4">
        <v>166.60337774897289</v>
      </c>
      <c r="I2" s="4">
        <v>147.6941489918627</v>
      </c>
      <c r="J2" s="4">
        <v>128.18814296878239</v>
      </c>
      <c r="K2" s="4">
        <v>108.15478163885651</v>
      </c>
      <c r="L2" s="4">
        <v>87.653841669862686</v>
      </c>
    </row>
    <row r="3" spans="1:12" x14ac:dyDescent="0.2">
      <c r="A3" s="2">
        <f t="shared" ref="A3:A12" si="0">A2+2%</f>
        <v>0.02</v>
      </c>
      <c r="B3" s="4">
        <v>265.92911250740673</v>
      </c>
      <c r="C3" s="4">
        <v>252.8968776852532</v>
      </c>
      <c r="D3" s="4">
        <v>238.49125390971361</v>
      </c>
      <c r="E3" s="4">
        <v>222.90426835911279</v>
      </c>
      <c r="F3" s="4">
        <v>206.29627611914381</v>
      </c>
      <c r="G3" s="4">
        <v>188.8017230556591</v>
      </c>
      <c r="H3" s="4">
        <v>170.53385984359971</v>
      </c>
      <c r="I3" s="4">
        <v>151.58856066155789</v>
      </c>
      <c r="J3" s="4">
        <v>132.0474048218482</v>
      </c>
      <c r="K3" s="4">
        <v>111.9801627490306</v>
      </c>
      <c r="L3" s="4">
        <v>91.446804961096632</v>
      </c>
    </row>
    <row r="4" spans="1:12" x14ac:dyDescent="0.2">
      <c r="A4" s="2">
        <f t="shared" si="0"/>
        <v>0.04</v>
      </c>
      <c r="B4" s="4">
        <v>268.36519298434308</v>
      </c>
      <c r="C4" s="4">
        <v>255.5660075021317</v>
      </c>
      <c r="D4" s="4">
        <v>241.34003635584759</v>
      </c>
      <c r="E4" s="4">
        <v>225.89171983335609</v>
      </c>
      <c r="F4" s="4">
        <v>209.39088828793641</v>
      </c>
      <c r="G4" s="4">
        <v>191.97919505460939</v>
      </c>
      <c r="H4" s="4">
        <v>173.7753751297862</v>
      </c>
      <c r="I4" s="4">
        <v>154.87948648821089</v>
      </c>
      <c r="J4" s="4">
        <v>135.37631228171381</v>
      </c>
      <c r="K4" s="4">
        <v>115.3380873724636</v>
      </c>
      <c r="L4" s="4">
        <v>94.826687077723136</v>
      </c>
    </row>
    <row r="5" spans="1:12" x14ac:dyDescent="0.2">
      <c r="A5" s="2">
        <f t="shared" si="0"/>
        <v>0.06</v>
      </c>
      <c r="B5" s="4">
        <v>269.06905969173039</v>
      </c>
      <c r="C5" s="4">
        <v>256.7622144873817</v>
      </c>
      <c r="D5" s="4">
        <v>242.93030928264471</v>
      </c>
      <c r="E5" s="4">
        <v>227.798523751359</v>
      </c>
      <c r="F5" s="4">
        <v>211.55307515841631</v>
      </c>
      <c r="G5" s="4">
        <v>194.34842688216671</v>
      </c>
      <c r="H5" s="4">
        <v>176.31329086076309</v>
      </c>
      <c r="I5" s="4">
        <v>157.55549756456841</v>
      </c>
      <c r="J5" s="4">
        <v>138.16590087873459</v>
      </c>
      <c r="K5" s="4">
        <v>118.2214958387826</v>
      </c>
      <c r="L5" s="4">
        <v>97.78790780640179</v>
      </c>
    </row>
    <row r="6" spans="1:12" x14ac:dyDescent="0.2">
      <c r="A6" s="2">
        <f t="shared" si="0"/>
        <v>0.08</v>
      </c>
      <c r="B6" s="4">
        <v>267.91680596897709</v>
      </c>
      <c r="C6" s="4">
        <v>256.38722430468692</v>
      </c>
      <c r="D6" s="4">
        <v>243.18453773976259</v>
      </c>
      <c r="E6" s="5">
        <v>228.56353207439321</v>
      </c>
      <c r="F6" s="4">
        <v>212.73449873518351</v>
      </c>
      <c r="G6" s="4">
        <v>195.871057484673</v>
      </c>
      <c r="H6" s="4">
        <v>178.11701847849031</v>
      </c>
      <c r="I6" s="4">
        <v>159.59207606591301</v>
      </c>
      <c r="J6" s="4">
        <v>140.39641296154491</v>
      </c>
      <c r="K6" s="4">
        <v>120.6143805410486</v>
      </c>
      <c r="L6" s="4">
        <v>100.3174288578309</v>
      </c>
    </row>
    <row r="7" spans="1:12" x14ac:dyDescent="0.2">
      <c r="A7" s="2">
        <f t="shared" si="0"/>
        <v>0.1</v>
      </c>
      <c r="B7" s="4">
        <v>264.72561917201011</v>
      </c>
      <c r="C7" s="4">
        <v>254.29299205380221</v>
      </c>
      <c r="D7" s="4">
        <v>241.98428295330541</v>
      </c>
      <c r="E7" s="4">
        <v>228.09238019027569</v>
      </c>
      <c r="F7" s="4">
        <v>212.8599507902434</v>
      </c>
      <c r="G7" s="4">
        <v>196.48697685161051</v>
      </c>
      <c r="H7" s="4">
        <v>179.1383118513647</v>
      </c>
      <c r="I7" s="4">
        <v>160.95030469009319</v>
      </c>
      <c r="J7" s="4">
        <v>142.0362875681349</v>
      </c>
      <c r="K7" s="4">
        <v>122.4910052089692</v>
      </c>
      <c r="L7" s="4">
        <v>102.39414806825739</v>
      </c>
    </row>
    <row r="8" spans="1:12" x14ac:dyDescent="0.2">
      <c r="A8" s="2">
        <f t="shared" si="0"/>
        <v>0.12000000000000001</v>
      </c>
      <c r="B8" s="4">
        <v>259.25176211030811</v>
      </c>
      <c r="C8" s="4">
        <v>250.27654065307169</v>
      </c>
      <c r="D8" s="4">
        <v>239.16467036118499</v>
      </c>
      <c r="E8" s="4">
        <v>226.2525691358444</v>
      </c>
      <c r="F8" s="4">
        <v>211.82329469629741</v>
      </c>
      <c r="G8" s="4">
        <v>196.1110916770385</v>
      </c>
      <c r="H8" s="4">
        <v>179.30873222475569</v>
      </c>
      <c r="I8" s="4">
        <v>161.57489416821269</v>
      </c>
      <c r="J8" s="4">
        <v>143.0406287774251</v>
      </c>
      <c r="K8" s="4">
        <v>123.8147143237195</v>
      </c>
      <c r="L8" s="4">
        <v>103.98797124386191</v>
      </c>
    </row>
    <row r="9" spans="1:12" x14ac:dyDescent="0.2">
      <c r="A9" s="2">
        <f t="shared" si="0"/>
        <v>0.14000000000000001</v>
      </c>
      <c r="B9" s="4">
        <v>251.1978825025584</v>
      </c>
      <c r="C9" s="4">
        <v>244.0773032501348</v>
      </c>
      <c r="D9" s="4">
        <v>234.5086626924807</v>
      </c>
      <c r="E9" s="4">
        <v>222.86745233389499</v>
      </c>
      <c r="F9" s="4">
        <v>209.48214641223379</v>
      </c>
      <c r="G9" s="4">
        <v>194.62893658954539</v>
      </c>
      <c r="H9" s="4">
        <v>178.53614315542899</v>
      </c>
      <c r="I9" s="4">
        <v>161.39142712671421</v>
      </c>
      <c r="J9" s="4">
        <v>143.3490527637052</v>
      </c>
      <c r="K9" s="4">
        <v>124.53625404069361</v>
      </c>
      <c r="L9" s="4">
        <v>105.05850090007149</v>
      </c>
    </row>
    <row r="10" spans="1:12" x14ac:dyDescent="0.2">
      <c r="A10" s="2">
        <f t="shared" si="0"/>
        <v>0.16</v>
      </c>
      <c r="B10" s="4">
        <v>240.2452615470244</v>
      </c>
      <c r="C10" s="4">
        <v>235.38386737441101</v>
      </c>
      <c r="D10" s="4">
        <v>227.74392107971411</v>
      </c>
      <c r="E10" s="4">
        <v>217.71010743555919</v>
      </c>
      <c r="F10" s="4">
        <v>205.65153061673729</v>
      </c>
      <c r="G10" s="4">
        <v>191.8910844107279</v>
      </c>
      <c r="H10" s="4">
        <v>176.70010065304561</v>
      </c>
      <c r="I10" s="4">
        <v>160.30267256554731</v>
      </c>
      <c r="J10" s="4">
        <v>142.8827842298906</v>
      </c>
      <c r="K10" s="4">
        <v>124.5914985684331</v>
      </c>
      <c r="L10" s="4">
        <v>105.5532581551097</v>
      </c>
    </row>
    <row r="11" spans="1:12" x14ac:dyDescent="0.2">
      <c r="A11" s="2">
        <f t="shared" si="0"/>
        <v>0.18</v>
      </c>
      <c r="B11" s="4">
        <v>226.14227275527199</v>
      </c>
      <c r="C11" s="4">
        <v>223.86574220904799</v>
      </c>
      <c r="D11" s="4">
        <v>218.54914797435899</v>
      </c>
      <c r="E11" s="4">
        <v>210.49986682924521</v>
      </c>
      <c r="F11" s="4">
        <v>200.09748182364581</v>
      </c>
      <c r="G11" s="4">
        <v>187.70658120034051</v>
      </c>
      <c r="H11" s="4">
        <v>173.6460829823877</v>
      </c>
      <c r="I11" s="4">
        <v>158.18382857084819</v>
      </c>
      <c r="J11" s="4">
        <v>141.54085021018341</v>
      </c>
      <c r="K11" s="4">
        <v>123.898447572682</v>
      </c>
      <c r="L11" s="4">
        <v>105.4053276009349</v>
      </c>
    </row>
    <row r="12" spans="1:12" x14ac:dyDescent="0.2">
      <c r="A12" s="2">
        <f t="shared" si="0"/>
        <v>0.19999999999999998</v>
      </c>
      <c r="B12" s="4">
        <v>208.89487655004351</v>
      </c>
      <c r="C12" s="4">
        <v>209.2614161876636</v>
      </c>
      <c r="D12" s="4">
        <v>206.58552381544911</v>
      </c>
      <c r="E12" s="4">
        <v>200.90838982913479</v>
      </c>
      <c r="F12" s="4">
        <v>192.5333538024432</v>
      </c>
      <c r="G12" s="4">
        <v>181.83636691540929</v>
      </c>
      <c r="H12" s="4">
        <v>169.1787782796853</v>
      </c>
      <c r="I12" s="4">
        <v>154.87663144164961</v>
      </c>
      <c r="J12" s="4">
        <v>139.19522375354751</v>
      </c>
      <c r="K12" s="4">
        <v>122.35333847106109</v>
      </c>
      <c r="L12" s="4">
        <v>104.5302874020629</v>
      </c>
    </row>
    <row r="15" spans="1:12" x14ac:dyDescent="0.2">
      <c r="A15" t="s">
        <v>13</v>
      </c>
    </row>
    <row r="16" spans="1:12" x14ac:dyDescent="0.2">
      <c r="B16" s="1">
        <v>0.15</v>
      </c>
      <c r="C16" s="1">
        <v>0.16</v>
      </c>
      <c r="D16" s="1">
        <v>0.17</v>
      </c>
      <c r="E16" s="1">
        <v>0.18</v>
      </c>
      <c r="F16" s="1">
        <v>0.19</v>
      </c>
      <c r="G16" s="1">
        <v>0.2</v>
      </c>
      <c r="H16" s="1">
        <v>0.21</v>
      </c>
      <c r="I16" s="1">
        <v>0.22</v>
      </c>
      <c r="J16" s="1">
        <v>0.23</v>
      </c>
      <c r="K16" s="1">
        <v>0.24</v>
      </c>
      <c r="L16" s="1">
        <v>0.25</v>
      </c>
    </row>
    <row r="17" spans="1:12" x14ac:dyDescent="0.2">
      <c r="A17" s="2">
        <v>0</v>
      </c>
      <c r="B17" s="3">
        <f t="shared" ref="B17:L27" si="1">B2/$E$6-1</f>
        <v>0.14554718194866889</v>
      </c>
      <c r="C17" s="3">
        <f t="shared" si="1"/>
        <v>8.8573577286378491E-2</v>
      </c>
      <c r="D17" s="3">
        <f t="shared" si="1"/>
        <v>2.5644569883034984E-2</v>
      </c>
      <c r="E17" s="3">
        <f t="shared" si="1"/>
        <v>-4.2420828573159208E-2</v>
      </c>
      <c r="F17" s="3">
        <f t="shared" si="1"/>
        <v>-0.11493518812709114</v>
      </c>
      <c r="G17" s="3">
        <f t="shared" si="1"/>
        <v>-0.19131969238173796</v>
      </c>
      <c r="H17" s="3">
        <f t="shared" si="1"/>
        <v>-0.27108504039591685</v>
      </c>
      <c r="I17" s="3">
        <f t="shared" si="1"/>
        <v>-0.35381577432137779</v>
      </c>
      <c r="J17" s="3">
        <f t="shared" si="1"/>
        <v>-0.43915749898781087</v>
      </c>
      <c r="K17" s="3">
        <f t="shared" si="1"/>
        <v>-0.52680648283097886</v>
      </c>
      <c r="L17" s="3">
        <f t="shared" si="1"/>
        <v>-0.61650119389416425</v>
      </c>
    </row>
    <row r="18" spans="1:12" x14ac:dyDescent="0.2">
      <c r="A18" s="2">
        <f t="shared" ref="A18:A27" si="2">A17+2%</f>
        <v>0.02</v>
      </c>
      <c r="B18" s="3">
        <f t="shared" si="1"/>
        <v>0.16348006216867406</v>
      </c>
      <c r="C18" s="3">
        <f t="shared" si="1"/>
        <v>0.10646206501105326</v>
      </c>
      <c r="D18" s="3">
        <f t="shared" si="1"/>
        <v>4.3435283595849805E-2</v>
      </c>
      <c r="E18" s="3">
        <f t="shared" si="1"/>
        <v>-2.4760134147027602E-2</v>
      </c>
      <c r="F18" s="3">
        <f t="shared" si="1"/>
        <v>-9.7422610480143557E-2</v>
      </c>
      <c r="G18" s="3">
        <f t="shared" si="1"/>
        <v>-0.17396392441902053</v>
      </c>
      <c r="H18" s="3">
        <f t="shared" si="1"/>
        <v>-0.25388858714305262</v>
      </c>
      <c r="I18" s="3">
        <f t="shared" si="1"/>
        <v>-0.33677713462960213</v>
      </c>
      <c r="J18" s="3">
        <f t="shared" si="1"/>
        <v>-0.4222726450566523</v>
      </c>
      <c r="K18" s="3">
        <f t="shared" si="1"/>
        <v>-0.51006986227101558</v>
      </c>
      <c r="L18" s="3">
        <f t="shared" si="1"/>
        <v>-0.59990640619198876</v>
      </c>
    </row>
    <row r="19" spans="1:12" x14ac:dyDescent="0.2">
      <c r="A19" s="2">
        <f t="shared" si="2"/>
        <v>0.04</v>
      </c>
      <c r="B19" s="3">
        <f t="shared" si="1"/>
        <v>0.17413828246666729</v>
      </c>
      <c r="C19" s="3">
        <f t="shared" si="1"/>
        <v>0.11813991139649382</v>
      </c>
      <c r="D19" s="3">
        <f t="shared" si="1"/>
        <v>5.5899137388618403E-2</v>
      </c>
      <c r="E19" s="3">
        <f t="shared" si="1"/>
        <v>-1.1689582396580578E-2</v>
      </c>
      <c r="F19" s="3">
        <f t="shared" si="1"/>
        <v>-8.3883214493799763E-2</v>
      </c>
      <c r="G19" s="3">
        <f t="shared" si="1"/>
        <v>-0.16006200415154714</v>
      </c>
      <c r="H19" s="3">
        <f t="shared" si="1"/>
        <v>-0.23970646781383509</v>
      </c>
      <c r="I19" s="3">
        <f t="shared" si="1"/>
        <v>-0.32237883671748446</v>
      </c>
      <c r="J19" s="3">
        <f t="shared" si="1"/>
        <v>-0.40770817175833929</v>
      </c>
      <c r="K19" s="3">
        <f t="shared" si="1"/>
        <v>-0.4953784344961768</v>
      </c>
      <c r="L19" s="3">
        <f t="shared" si="1"/>
        <v>-0.58511891106557279</v>
      </c>
    </row>
    <row r="20" spans="1:12" x14ac:dyDescent="0.2">
      <c r="A20" s="2">
        <f t="shared" si="2"/>
        <v>0.06</v>
      </c>
      <c r="B20" s="3">
        <f t="shared" si="1"/>
        <v>0.17721780570031354</v>
      </c>
      <c r="C20" s="3">
        <f t="shared" si="1"/>
        <v>0.12337349776258422</v>
      </c>
      <c r="D20" s="3">
        <f t="shared" si="1"/>
        <v>6.285682181169383E-2</v>
      </c>
      <c r="E20" s="3">
        <f t="shared" si="1"/>
        <v>-3.3470270436021243E-3</v>
      </c>
      <c r="F20" s="3">
        <f t="shared" si="1"/>
        <v>-7.4423320122828263E-2</v>
      </c>
      <c r="G20" s="3">
        <f t="shared" si="1"/>
        <v>-0.14969625679870102</v>
      </c>
      <c r="H20" s="3">
        <f t="shared" si="1"/>
        <v>-0.22860270288710638</v>
      </c>
      <c r="I20" s="3">
        <f t="shared" si="1"/>
        <v>-0.3106708837817268</v>
      </c>
      <c r="J20" s="3">
        <f t="shared" si="1"/>
        <v>-0.39550330000253875</v>
      </c>
      <c r="K20" s="3">
        <f t="shared" si="1"/>
        <v>-0.48276308663140677</v>
      </c>
      <c r="L20" s="3">
        <f t="shared" si="1"/>
        <v>-0.57216312279172499</v>
      </c>
    </row>
    <row r="21" spans="1:12" x14ac:dyDescent="0.2">
      <c r="A21" s="2">
        <f t="shared" si="2"/>
        <v>0.08</v>
      </c>
      <c r="B21" s="3">
        <f t="shared" si="1"/>
        <v>0.1721765215011426</v>
      </c>
      <c r="C21" s="3">
        <f t="shared" si="1"/>
        <v>0.121732859033862</v>
      </c>
      <c r="D21" s="3">
        <f t="shared" si="1"/>
        <v>6.3969109737989749E-2</v>
      </c>
      <c r="E21" s="3">
        <f>E6/$E$6-1</f>
        <v>0</v>
      </c>
      <c r="F21" s="3">
        <f t="shared" si="1"/>
        <v>-6.9254413403349258E-2</v>
      </c>
      <c r="G21" s="3">
        <f t="shared" si="1"/>
        <v>-0.14303451776847498</v>
      </c>
      <c r="H21" s="3">
        <f t="shared" si="1"/>
        <v>-0.22071112192772502</v>
      </c>
      <c r="I21" s="3">
        <f t="shared" si="1"/>
        <v>-0.30176054501131555</v>
      </c>
      <c r="J21" s="3">
        <f t="shared" si="1"/>
        <v>-0.38574447250032662</v>
      </c>
      <c r="K21" s="3">
        <f t="shared" si="1"/>
        <v>-0.4722938543765991</v>
      </c>
      <c r="L21" s="3">
        <f t="shared" si="1"/>
        <v>-0.5610960858568661</v>
      </c>
    </row>
    <row r="22" spans="1:12" x14ac:dyDescent="0.2">
      <c r="A22" s="2">
        <f t="shared" si="2"/>
        <v>0.1</v>
      </c>
      <c r="B22" s="3">
        <f t="shared" si="1"/>
        <v>0.1582145969193669</v>
      </c>
      <c r="C22" s="3">
        <f t="shared" si="1"/>
        <v>0.11257027639489992</v>
      </c>
      <c r="D22" s="3">
        <f t="shared" si="1"/>
        <v>5.8717813629796334E-2</v>
      </c>
      <c r="E22" s="3">
        <f t="shared" si="1"/>
        <v>-2.0613607072023088E-3</v>
      </c>
      <c r="F22" s="3">
        <f t="shared" si="1"/>
        <v>-6.8705541700495698E-2</v>
      </c>
      <c r="G22" s="3">
        <f t="shared" si="1"/>
        <v>-0.14033977744245907</v>
      </c>
      <c r="H22" s="3">
        <f t="shared" si="1"/>
        <v>-0.21624280905381488</v>
      </c>
      <c r="I22" s="3">
        <f t="shared" si="1"/>
        <v>-0.29581808948547905</v>
      </c>
      <c r="J22" s="3">
        <f t="shared" si="1"/>
        <v>-0.37856977323090757</v>
      </c>
      <c r="K22" s="3">
        <f t="shared" si="1"/>
        <v>-0.46408333780429745</v>
      </c>
      <c r="L22" s="3">
        <f t="shared" si="1"/>
        <v>-0.55201012541698913</v>
      </c>
    </row>
    <row r="23" spans="1:12" x14ac:dyDescent="0.2">
      <c r="A23" s="2">
        <f t="shared" si="2"/>
        <v>0.12000000000000001</v>
      </c>
      <c r="B23" s="3">
        <f t="shared" si="1"/>
        <v>0.13426564490579551</v>
      </c>
      <c r="C23" s="3">
        <f t="shared" si="1"/>
        <v>9.4997694433647917E-2</v>
      </c>
      <c r="D23" s="3">
        <f t="shared" si="1"/>
        <v>4.6381582357334805E-2</v>
      </c>
      <c r="E23" s="3">
        <f t="shared" si="1"/>
        <v>-1.011081215614329E-2</v>
      </c>
      <c r="F23" s="3">
        <f t="shared" si="1"/>
        <v>-7.3241068801155773E-2</v>
      </c>
      <c r="G23" s="3">
        <f t="shared" si="1"/>
        <v>-0.1419843318959213</v>
      </c>
      <c r="H23" s="3">
        <f t="shared" si="1"/>
        <v>-0.2154971941613415</v>
      </c>
      <c r="I23" s="3">
        <f t="shared" si="1"/>
        <v>-0.29308541611256234</v>
      </c>
      <c r="J23" s="3">
        <f t="shared" si="1"/>
        <v>-0.37417562863498266</v>
      </c>
      <c r="K23" s="3">
        <f t="shared" si="1"/>
        <v>-0.45829191034980987</v>
      </c>
      <c r="L23" s="3">
        <f t="shared" si="1"/>
        <v>-0.54503690811876437</v>
      </c>
    </row>
    <row r="24" spans="1:12" x14ac:dyDescent="0.2">
      <c r="A24" s="2">
        <f t="shared" si="2"/>
        <v>0.14000000000000001</v>
      </c>
      <c r="B24" s="3">
        <f t="shared" si="1"/>
        <v>9.9028704285153202E-2</v>
      </c>
      <c r="C24" s="3">
        <f t="shared" si="1"/>
        <v>6.7875093786580853E-2</v>
      </c>
      <c r="D24" s="3">
        <f t="shared" si="1"/>
        <v>2.6010845055336462E-2</v>
      </c>
      <c r="E24" s="3">
        <f t="shared" si="1"/>
        <v>-2.4921209822064916E-2</v>
      </c>
      <c r="F24" s="3">
        <f t="shared" si="1"/>
        <v>-8.3483946406414433E-2</v>
      </c>
      <c r="G24" s="3">
        <f t="shared" si="1"/>
        <v>-0.14846898443012657</v>
      </c>
      <c r="H24" s="3">
        <f t="shared" si="1"/>
        <v>-0.21887738811579627</v>
      </c>
      <c r="I24" s="3">
        <f t="shared" si="1"/>
        <v>-0.29388811214999833</v>
      </c>
      <c r="J24" s="3">
        <f t="shared" si="1"/>
        <v>-0.37282622707699609</v>
      </c>
      <c r="K24" s="3">
        <f t="shared" si="1"/>
        <v>-0.45513506502796186</v>
      </c>
      <c r="L24" s="3">
        <f t="shared" si="1"/>
        <v>-0.54035317906324232</v>
      </c>
    </row>
    <row r="25" spans="1:12" x14ac:dyDescent="0.2">
      <c r="A25" s="2">
        <f t="shared" si="2"/>
        <v>0.16</v>
      </c>
      <c r="B25" s="3">
        <f t="shared" si="1"/>
        <v>5.1109332125778506E-2</v>
      </c>
      <c r="C25" s="3">
        <f t="shared" si="1"/>
        <v>2.9839997825190645E-2</v>
      </c>
      <c r="D25" s="3">
        <f t="shared" si="1"/>
        <v>-3.5859219851936963E-3</v>
      </c>
      <c r="E25" s="3">
        <f t="shared" si="1"/>
        <v>-4.7485373280377163E-2</v>
      </c>
      <c r="F25" s="3">
        <f t="shared" si="1"/>
        <v>-0.10024346950588114</v>
      </c>
      <c r="G25" s="3">
        <f t="shared" si="1"/>
        <v>-0.16044750153637422</v>
      </c>
      <c r="H25" s="3">
        <f t="shared" si="1"/>
        <v>-0.22691035157991435</v>
      </c>
      <c r="I25" s="3">
        <f t="shared" si="1"/>
        <v>-0.29865157791938679</v>
      </c>
      <c r="J25" s="3">
        <f t="shared" si="1"/>
        <v>-0.37486622238850908</v>
      </c>
      <c r="K25" s="3">
        <f t="shared" si="1"/>
        <v>-0.45489336186894036</v>
      </c>
      <c r="L25" s="3">
        <f t="shared" si="1"/>
        <v>-0.53818854129033111</v>
      </c>
    </row>
    <row r="26" spans="1:12" x14ac:dyDescent="0.2">
      <c r="A26" s="2">
        <f t="shared" si="2"/>
        <v>0.18</v>
      </c>
      <c r="B26" s="3">
        <f t="shared" si="1"/>
        <v>-1.059337549234729E-2</v>
      </c>
      <c r="C26" s="3">
        <f t="shared" si="1"/>
        <v>-2.0553540727644037E-2</v>
      </c>
      <c r="D26" s="3">
        <f t="shared" si="1"/>
        <v>-4.3814444102897032E-2</v>
      </c>
      <c r="E26" s="3">
        <f t="shared" si="1"/>
        <v>-7.903126575445385E-2</v>
      </c>
      <c r="F26" s="3">
        <f t="shared" si="1"/>
        <v>-0.12454327246519026</v>
      </c>
      <c r="G26" s="3">
        <f t="shared" si="1"/>
        <v>-0.17875533556575651</v>
      </c>
      <c r="H26" s="3">
        <f t="shared" si="1"/>
        <v>-0.24027214050109669</v>
      </c>
      <c r="I26" s="3">
        <f t="shared" si="1"/>
        <v>-0.3079218406575801</v>
      </c>
      <c r="J26" s="3">
        <f t="shared" si="1"/>
        <v>-0.38073738655686129</v>
      </c>
      <c r="K26" s="3">
        <f t="shared" si="1"/>
        <v>-0.45792556472939283</v>
      </c>
      <c r="L26" s="3">
        <f t="shared" si="1"/>
        <v>-0.53883575982441756</v>
      </c>
    </row>
    <row r="27" spans="1:12" x14ac:dyDescent="0.2">
      <c r="A27" s="2">
        <f t="shared" si="2"/>
        <v>0.19999999999999998</v>
      </c>
      <c r="B27" s="3">
        <f t="shared" si="1"/>
        <v>-8.6053340818814106E-2</v>
      </c>
      <c r="C27" s="3">
        <f t="shared" si="1"/>
        <v>-8.444967450208607E-2</v>
      </c>
      <c r="D27" s="3">
        <f t="shared" si="1"/>
        <v>-9.6157108089275911E-2</v>
      </c>
      <c r="E27" s="3">
        <f t="shared" si="1"/>
        <v>-0.12099542737315239</v>
      </c>
      <c r="F27" s="3">
        <f t="shared" si="1"/>
        <v>-0.15763747586917254</v>
      </c>
      <c r="G27" s="3">
        <f t="shared" si="1"/>
        <v>-0.20443841033999721</v>
      </c>
      <c r="H27" s="3">
        <f t="shared" si="1"/>
        <v>-0.259817273804551</v>
      </c>
      <c r="I27" s="3">
        <f t="shared" si="1"/>
        <v>-0.32239132797772774</v>
      </c>
      <c r="J27" s="3">
        <f t="shared" si="1"/>
        <v>-0.39099985684399541</v>
      </c>
      <c r="K27" s="3">
        <f t="shared" si="1"/>
        <v>-0.46468565059085043</v>
      </c>
      <c r="L27" s="3">
        <f t="shared" si="1"/>
        <v>-0.54266419295603019</v>
      </c>
    </row>
  </sheetData>
  <conditionalFormatting sqref="B17:L2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L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Params</vt:lpstr>
      <vt:lpstr>Parallel_Vol_Rates</vt:lpstr>
      <vt:lpstr>Skew_Rates</vt:lpstr>
      <vt:lpstr>Skew_Parallel_Vol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Yushi Wei</cp:lastModifiedBy>
  <dcterms:created xsi:type="dcterms:W3CDTF">2025-10-03T04:01:42Z</dcterms:created>
  <dcterms:modified xsi:type="dcterms:W3CDTF">2025-10-03T04:08:35Z</dcterms:modified>
</cp:coreProperties>
</file>