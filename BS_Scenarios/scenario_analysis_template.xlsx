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shi/Documents/GitHub/Yushi-Wei/BS_Scenarios/"/>
    </mc:Choice>
  </mc:AlternateContent>
  <xr:revisionPtr revIDLastSave="0" documentId="13_ncr:1_{BC31CFA8-9C82-9041-A30C-F91331F5C787}" xr6:coauthVersionLast="47" xr6:coauthVersionMax="47" xr10:uidLastSave="{00000000-0000-0000-0000-000000000000}"/>
  <bookViews>
    <workbookView xWindow="0" yWindow="680" windowWidth="30240" windowHeight="15720" xr2:uid="{FA7A72B3-722C-4F6C-A60C-EF1A6BAD9396}"/>
  </bookViews>
  <sheets>
    <sheet name="Params" sheetId="1" r:id="rId1"/>
    <sheet name="ATM_Vol_Rates" sheetId="2" r:id="rId2"/>
    <sheet name="Skew_Rates" sheetId="3" r:id="rId3"/>
    <sheet name="Skew_ATM_Vo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11" i="4" s="1"/>
  <c r="A12" i="4" s="1"/>
  <c r="G1" i="4"/>
  <c r="H1" i="4" s="1"/>
  <c r="I1" i="4" s="1"/>
  <c r="J1" i="4" s="1"/>
  <c r="K1" i="4" s="1"/>
  <c r="L1" i="4" s="1"/>
  <c r="A3" i="3"/>
  <c r="A4" i="3" s="1"/>
  <c r="A5" i="3" s="1"/>
  <c r="A6" i="3" s="1"/>
  <c r="A7" i="3" s="1"/>
  <c r="A8" i="3" s="1"/>
  <c r="A9" i="3" s="1"/>
  <c r="A10" i="3" s="1"/>
  <c r="A11" i="3" s="1"/>
  <c r="A12" i="3" s="1"/>
  <c r="H1" i="3"/>
  <c r="I1" i="3" s="1"/>
  <c r="J1" i="3" s="1"/>
  <c r="K1" i="3" s="1"/>
  <c r="L1" i="3" s="1"/>
  <c r="M1" i="3" s="1"/>
  <c r="N1" i="3" s="1"/>
  <c r="A7" i="2"/>
  <c r="A8" i="2" s="1"/>
  <c r="A9" i="2" s="1"/>
  <c r="A10" i="2" s="1"/>
  <c r="A11" i="2" s="1"/>
  <c r="A12" i="2" s="1"/>
  <c r="H1" i="2"/>
  <c r="G1" i="2" s="1"/>
  <c r="F1" i="2" s="1"/>
  <c r="E1" i="2" s="1"/>
  <c r="D1" i="2" s="1"/>
  <c r="C1" i="2" s="1"/>
  <c r="B1" i="2" s="1"/>
  <c r="F1" i="4" l="1"/>
  <c r="E1" i="4" s="1"/>
  <c r="D1" i="4" s="1"/>
  <c r="C1" i="4" s="1"/>
  <c r="B1" i="4" s="1"/>
  <c r="A6" i="2"/>
  <c r="A5" i="2" s="1"/>
  <c r="A4" i="2" s="1"/>
  <c r="A3" i="2" s="1"/>
  <c r="A2" i="2" s="1"/>
  <c r="G1" i="3"/>
  <c r="F1" i="3" s="1"/>
  <c r="E1" i="3" s="1"/>
  <c r="D1" i="3" s="1"/>
  <c r="C1" i="3" s="1"/>
  <c r="B1" i="3" s="1"/>
  <c r="I1" i="2"/>
  <c r="J1" i="2" s="1"/>
  <c r="K1" i="2" s="1"/>
  <c r="L1" i="2" s="1"/>
  <c r="M1" i="2" s="1"/>
  <c r="N1" i="2" s="1"/>
</calcChain>
</file>

<file path=xl/sharedStrings.xml><?xml version="1.0" encoding="utf-8"?>
<sst xmlns="http://schemas.openxmlformats.org/spreadsheetml/2006/main" count="13" uniqueCount="13">
  <si>
    <t>BS Inputs</t>
  </si>
  <si>
    <t>S_0</t>
  </si>
  <si>
    <t>K</t>
  </si>
  <si>
    <t>r</t>
  </si>
  <si>
    <t>Time</t>
  </si>
  <si>
    <t>15% CAP, 10% buffer strategy, hedging only the one year payout</t>
  </si>
  <si>
    <t>ATM vol</t>
  </si>
  <si>
    <t>90% vol</t>
  </si>
  <si>
    <t>115% vol</t>
  </si>
  <si>
    <t>Scenarios defined as rates +/- 250 bps, in 50 bps increments</t>
  </si>
  <si>
    <t>Skew is defined as the 90% put - 115% call, when skew steepens, keep the ATM vol the same</t>
  </si>
  <si>
    <t>Skew going from 5% to 15% in 1% increment</t>
  </si>
  <si>
    <t>Vol parallel shift ranging from 15% to 25% in 1% increments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</si>
</sst>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EF8E-1C44-4066-B950-133F28E102C4}">
  <dimension ref="A1:D8"/>
  <sheetViews>
    <sheetView tabSelected="1" zoomScale="194" zoomScaleNormal="130" workbookViewId="0">
      <selection activeCell="D4" sqref="D4"/>
    </sheetView>
  </sheetViews>
  <sheetFormatPr baseColWidth="10" defaultColWidth="8.83203125" defaultRowHeight="15" x14ac:dyDescent="0.2"/>
  <sheetData>
    <row r="1" spans="1:4" x14ac:dyDescent="0.2">
      <c r="A1" t="s">
        <v>0</v>
      </c>
      <c r="D1" t="s">
        <v>5</v>
      </c>
    </row>
    <row r="2" spans="1:4" x14ac:dyDescent="0.2">
      <c r="A2" t="s">
        <v>1</v>
      </c>
      <c r="B2">
        <v>6638</v>
      </c>
      <c r="D2" t="s">
        <v>10</v>
      </c>
    </row>
    <row r="3" spans="1:4" x14ac:dyDescent="0.2">
      <c r="A3" t="s">
        <v>2</v>
      </c>
      <c r="B3">
        <v>6638</v>
      </c>
      <c r="D3" t="s">
        <v>9</v>
      </c>
    </row>
    <row r="4" spans="1:4" x14ac:dyDescent="0.2">
      <c r="A4" t="s">
        <v>3</v>
      </c>
      <c r="B4" s="1">
        <v>0.03</v>
      </c>
      <c r="D4" t="s">
        <v>11</v>
      </c>
    </row>
    <row r="5" spans="1:4" x14ac:dyDescent="0.2">
      <c r="A5" t="s">
        <v>4</v>
      </c>
      <c r="B5">
        <v>1</v>
      </c>
      <c r="D5" t="s">
        <v>12</v>
      </c>
    </row>
    <row r="6" spans="1:4" x14ac:dyDescent="0.2">
      <c r="A6" t="s">
        <v>6</v>
      </c>
      <c r="B6" s="3">
        <v>0.18</v>
      </c>
    </row>
    <row r="7" spans="1:4" x14ac:dyDescent="0.2">
      <c r="A7" t="s">
        <v>7</v>
      </c>
      <c r="B7" s="3">
        <v>0.22</v>
      </c>
    </row>
    <row r="8" spans="1:4" x14ac:dyDescent="0.2">
      <c r="A8" t="s">
        <v>8</v>
      </c>
      <c r="B8" s="3">
        <v>0.14000000000000001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575-BA3F-40D1-96E3-6B5951BF2A62}">
  <dimension ref="A1:N12"/>
  <sheetViews>
    <sheetView zoomScale="115" zoomScaleNormal="115" workbookViewId="0">
      <selection activeCell="I12" sqref="I12"/>
    </sheetView>
  </sheetViews>
  <sheetFormatPr baseColWidth="10" defaultColWidth="8.83203125" defaultRowHeight="15" x14ac:dyDescent="0.2"/>
  <cols>
    <col min="1" max="1" width="14.33203125" customWidth="1"/>
  </cols>
  <sheetData>
    <row r="1" spans="1:14" x14ac:dyDescent="0.2">
      <c r="B1" s="2">
        <f t="shared" ref="B1:F1" si="0">C1-0.5%</f>
        <v>0</v>
      </c>
      <c r="C1" s="2">
        <f t="shared" si="0"/>
        <v>4.9999999999999949E-3</v>
      </c>
      <c r="D1" s="2">
        <f t="shared" si="0"/>
        <v>9.999999999999995E-3</v>
      </c>
      <c r="E1" s="2">
        <f t="shared" si="0"/>
        <v>1.4999999999999996E-2</v>
      </c>
      <c r="F1" s="2">
        <f t="shared" si="0"/>
        <v>1.9999999999999997E-2</v>
      </c>
      <c r="G1" s="2">
        <f>H1-0.5%</f>
        <v>2.4999999999999998E-2</v>
      </c>
      <c r="H1" s="2">
        <f>Params!B4</f>
        <v>0.03</v>
      </c>
      <c r="I1" s="2">
        <f>H1+0.5%</f>
        <v>3.4999999999999996E-2</v>
      </c>
      <c r="J1" s="2">
        <f t="shared" ref="J1:N1" si="1">I1+0.5%</f>
        <v>3.9999999999999994E-2</v>
      </c>
      <c r="K1" s="2">
        <f t="shared" si="1"/>
        <v>4.4999999999999991E-2</v>
      </c>
      <c r="L1" s="2">
        <f t="shared" si="1"/>
        <v>4.9999999999999989E-2</v>
      </c>
      <c r="M1" s="2">
        <f t="shared" si="1"/>
        <v>5.4999999999999986E-2</v>
      </c>
      <c r="N1" s="2">
        <f t="shared" si="1"/>
        <v>5.9999999999999984E-2</v>
      </c>
    </row>
    <row r="2" spans="1:14" x14ac:dyDescent="0.2">
      <c r="A2" s="1">
        <f t="shared" ref="A2:A5" si="2">A3-1%</f>
        <v>0.12999999999999995</v>
      </c>
    </row>
    <row r="3" spans="1:14" x14ac:dyDescent="0.2">
      <c r="A3" s="1">
        <f t="shared" si="2"/>
        <v>0.13999999999999996</v>
      </c>
    </row>
    <row r="4" spans="1:14" x14ac:dyDescent="0.2">
      <c r="A4" s="1">
        <f t="shared" si="2"/>
        <v>0.14999999999999997</v>
      </c>
    </row>
    <row r="5" spans="1:14" x14ac:dyDescent="0.2">
      <c r="A5" s="1">
        <f t="shared" si="2"/>
        <v>0.15999999999999998</v>
      </c>
    </row>
    <row r="6" spans="1:14" x14ac:dyDescent="0.2">
      <c r="A6" s="1">
        <f>A7-1%</f>
        <v>0.16999999999999998</v>
      </c>
    </row>
    <row r="7" spans="1:14" x14ac:dyDescent="0.2">
      <c r="A7" s="1">
        <f>Params!B6</f>
        <v>0.18</v>
      </c>
    </row>
    <row r="8" spans="1:14" x14ac:dyDescent="0.2">
      <c r="A8" s="1">
        <f>A7+1%</f>
        <v>0.19</v>
      </c>
    </row>
    <row r="9" spans="1:14" x14ac:dyDescent="0.2">
      <c r="A9" s="1">
        <f t="shared" ref="A9:A12" si="3">A8+1%</f>
        <v>0.2</v>
      </c>
    </row>
    <row r="10" spans="1:14" x14ac:dyDescent="0.2">
      <c r="A10" s="1">
        <f t="shared" si="3"/>
        <v>0.21000000000000002</v>
      </c>
    </row>
    <row r="11" spans="1:14" x14ac:dyDescent="0.2">
      <c r="A11" s="1">
        <f t="shared" si="3"/>
        <v>0.22000000000000003</v>
      </c>
    </row>
    <row r="12" spans="1:14" x14ac:dyDescent="0.2">
      <c r="A12" s="1">
        <f t="shared" si="3"/>
        <v>0.23000000000000004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1797-6086-445F-862E-32445DD5D76A}">
  <dimension ref="A1:N12"/>
  <sheetViews>
    <sheetView zoomScale="115" zoomScaleNormal="115" workbookViewId="0">
      <selection activeCell="I1" sqref="I1"/>
    </sheetView>
  </sheetViews>
  <sheetFormatPr baseColWidth="10" defaultColWidth="8.83203125" defaultRowHeight="15" x14ac:dyDescent="0.2"/>
  <cols>
    <col min="1" max="1" width="14.33203125" customWidth="1"/>
  </cols>
  <sheetData>
    <row r="1" spans="1:14" x14ac:dyDescent="0.2">
      <c r="B1" s="2">
        <f t="shared" ref="B1:F1" si="0">C1-0.5%</f>
        <v>0</v>
      </c>
      <c r="C1" s="2">
        <f t="shared" si="0"/>
        <v>4.9999999999999949E-3</v>
      </c>
      <c r="D1" s="2">
        <f t="shared" si="0"/>
        <v>9.999999999999995E-3</v>
      </c>
      <c r="E1" s="2">
        <f t="shared" si="0"/>
        <v>1.4999999999999996E-2</v>
      </c>
      <c r="F1" s="2">
        <f t="shared" si="0"/>
        <v>1.9999999999999997E-2</v>
      </c>
      <c r="G1" s="2">
        <f>H1-0.5%</f>
        <v>2.4999999999999998E-2</v>
      </c>
      <c r="H1" s="2">
        <f>Params!B4</f>
        <v>0.03</v>
      </c>
      <c r="I1" s="2">
        <f>H1+0.5%</f>
        <v>3.4999999999999996E-2</v>
      </c>
      <c r="J1" s="2">
        <f t="shared" ref="J1:N1" si="1">I1+0.5%</f>
        <v>3.9999999999999994E-2</v>
      </c>
      <c r="K1" s="2">
        <f t="shared" si="1"/>
        <v>4.4999999999999991E-2</v>
      </c>
      <c r="L1" s="2">
        <f t="shared" si="1"/>
        <v>4.9999999999999989E-2</v>
      </c>
      <c r="M1" s="2">
        <f t="shared" si="1"/>
        <v>5.4999999999999986E-2</v>
      </c>
      <c r="N1" s="2">
        <f t="shared" si="1"/>
        <v>5.9999999999999984E-2</v>
      </c>
    </row>
    <row r="2" spans="1:14" x14ac:dyDescent="0.2">
      <c r="A2" s="1">
        <v>0</v>
      </c>
    </row>
    <row r="3" spans="1:14" x14ac:dyDescent="0.2">
      <c r="A3" s="1">
        <f>A2+2%</f>
        <v>0.02</v>
      </c>
    </row>
    <row r="4" spans="1:14" x14ac:dyDescent="0.2">
      <c r="A4" s="1">
        <f t="shared" ref="A4:A12" si="2">A3+2%</f>
        <v>0.04</v>
      </c>
    </row>
    <row r="5" spans="1:14" x14ac:dyDescent="0.2">
      <c r="A5" s="1">
        <f t="shared" si="2"/>
        <v>0.06</v>
      </c>
    </row>
    <row r="6" spans="1:14" x14ac:dyDescent="0.2">
      <c r="A6" s="1">
        <f t="shared" si="2"/>
        <v>0.08</v>
      </c>
    </row>
    <row r="7" spans="1:14" x14ac:dyDescent="0.2">
      <c r="A7" s="1">
        <f t="shared" si="2"/>
        <v>0.1</v>
      </c>
    </row>
    <row r="8" spans="1:14" x14ac:dyDescent="0.2">
      <c r="A8" s="1">
        <f t="shared" si="2"/>
        <v>0.12000000000000001</v>
      </c>
    </row>
    <row r="9" spans="1:14" x14ac:dyDescent="0.2">
      <c r="A9" s="1">
        <f t="shared" si="2"/>
        <v>0.14000000000000001</v>
      </c>
    </row>
    <row r="10" spans="1:14" x14ac:dyDescent="0.2">
      <c r="A10" s="1">
        <f t="shared" si="2"/>
        <v>0.16</v>
      </c>
    </row>
    <row r="11" spans="1:14" x14ac:dyDescent="0.2">
      <c r="A11" s="1">
        <f t="shared" si="2"/>
        <v>0.18</v>
      </c>
    </row>
    <row r="12" spans="1:14" x14ac:dyDescent="0.2">
      <c r="A12" s="1">
        <f t="shared" si="2"/>
        <v>0.19999999999999998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7A1D-111B-438A-BC01-46DB2E3C2160}">
  <dimension ref="A1:T12"/>
  <sheetViews>
    <sheetView zoomScale="115" zoomScaleNormal="115" workbookViewId="0">
      <selection activeCell="B3" sqref="B3"/>
    </sheetView>
  </sheetViews>
  <sheetFormatPr baseColWidth="10" defaultColWidth="8.83203125" defaultRowHeight="15" x14ac:dyDescent="0.2"/>
  <cols>
    <col min="1" max="1" width="14.33203125" customWidth="1"/>
  </cols>
  <sheetData>
    <row r="1" spans="1:20" x14ac:dyDescent="0.2">
      <c r="B1" s="1">
        <f>C1-1%</f>
        <v>0.12999999999999995</v>
      </c>
      <c r="C1" s="1">
        <f>D1-1%</f>
        <v>0.13999999999999996</v>
      </c>
      <c r="D1" s="1">
        <f>E1-1%</f>
        <v>0.14999999999999997</v>
      </c>
      <c r="E1" s="1">
        <f>F1-1%</f>
        <v>0.15999999999999998</v>
      </c>
      <c r="F1" s="1">
        <f>G1-1%</f>
        <v>0.16999999999999998</v>
      </c>
      <c r="G1" s="1">
        <f>Params!B6</f>
        <v>0.18</v>
      </c>
      <c r="H1" s="1">
        <f>G1+1%</f>
        <v>0.19</v>
      </c>
      <c r="I1" s="1">
        <f>H1+1%</f>
        <v>0.2</v>
      </c>
      <c r="J1" s="1">
        <f>I1+1%</f>
        <v>0.21000000000000002</v>
      </c>
      <c r="K1" s="1">
        <f>J1+1%</f>
        <v>0.22000000000000003</v>
      </c>
      <c r="L1" s="1">
        <f>K1+1%</f>
        <v>0.23000000000000004</v>
      </c>
      <c r="M1" s="2"/>
      <c r="N1" s="2"/>
      <c r="O1" s="2"/>
      <c r="P1" s="2"/>
      <c r="Q1" s="2"/>
      <c r="R1" s="2"/>
      <c r="S1" s="2"/>
      <c r="T1" s="2"/>
    </row>
    <row r="2" spans="1:20" x14ac:dyDescent="0.2">
      <c r="A2" s="1">
        <v>0</v>
      </c>
    </row>
    <row r="3" spans="1:20" x14ac:dyDescent="0.2">
      <c r="A3" s="1">
        <f>A2+2%</f>
        <v>0.02</v>
      </c>
    </row>
    <row r="4" spans="1:20" x14ac:dyDescent="0.2">
      <c r="A4" s="1">
        <f t="shared" ref="A4:A12" si="0">A3+2%</f>
        <v>0.04</v>
      </c>
    </row>
    <row r="5" spans="1:20" x14ac:dyDescent="0.2">
      <c r="A5" s="1">
        <f t="shared" si="0"/>
        <v>0.06</v>
      </c>
    </row>
    <row r="6" spans="1:20" x14ac:dyDescent="0.2">
      <c r="A6" s="1">
        <f t="shared" si="0"/>
        <v>0.08</v>
      </c>
    </row>
    <row r="7" spans="1:20" x14ac:dyDescent="0.2">
      <c r="A7" s="1">
        <f t="shared" si="0"/>
        <v>0.1</v>
      </c>
    </row>
    <row r="8" spans="1:20" x14ac:dyDescent="0.2">
      <c r="A8" s="1">
        <f t="shared" si="0"/>
        <v>0.12000000000000001</v>
      </c>
    </row>
    <row r="9" spans="1:20" x14ac:dyDescent="0.2">
      <c r="A9" s="1">
        <f t="shared" si="0"/>
        <v>0.14000000000000001</v>
      </c>
    </row>
    <row r="10" spans="1:20" x14ac:dyDescent="0.2">
      <c r="A10" s="1">
        <f t="shared" si="0"/>
        <v>0.16</v>
      </c>
    </row>
    <row r="11" spans="1:20" x14ac:dyDescent="0.2">
      <c r="A11" s="1">
        <f t="shared" si="0"/>
        <v>0.18</v>
      </c>
    </row>
    <row r="12" spans="1:20" x14ac:dyDescent="0.2">
      <c r="A12" s="1">
        <f t="shared" si="0"/>
        <v>0.19999999999999998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Params</vt:lpstr>
      <vt:lpstr>ATM_Vol_Rates</vt:lpstr>
      <vt:lpstr>Skew_Rates</vt:lpstr>
      <vt:lpstr>Skew_ATM_Vol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Yushi</dc:creator>
  <cp:lastModifiedBy>Yushi Wei</cp:lastModifiedBy>
  <dcterms:created xsi:type="dcterms:W3CDTF">2025-09-25T16:02:31Z</dcterms:created>
  <dcterms:modified xsi:type="dcterms:W3CDTF">2025-10-03T03:56:00Z</dcterms:modified>
</cp:coreProperties>
</file>