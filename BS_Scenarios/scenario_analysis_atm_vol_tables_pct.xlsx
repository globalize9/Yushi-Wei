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ushi/Documents/GitHub/Yushi-Wei/BS_Scenarios/"/>
    </mc:Choice>
  </mc:AlternateContent>
  <xr:revisionPtr revIDLastSave="0" documentId="13_ncr:1_{7EED3D83-1937-4C49-AFF8-33C54710EA97}" xr6:coauthVersionLast="47" xr6:coauthVersionMax="47" xr10:uidLastSave="{00000000-0000-0000-0000-000000000000}"/>
  <bookViews>
    <workbookView xWindow="36240" yWindow="-1120" windowWidth="30240" windowHeight="18960" activeTab="3" xr2:uid="{00000000-000D-0000-FFFF-FFFF00000000}"/>
  </bookViews>
  <sheets>
    <sheet name="Params" sheetId="1" r:id="rId1"/>
    <sheet name="ATM_Vol_Rates" sheetId="2" r:id="rId2"/>
    <sheet name="Skew_Rates" sheetId="3" r:id="rId3"/>
    <sheet name="Skew_ATM_Vo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4" l="1"/>
  <c r="K27" i="4"/>
  <c r="J27" i="4"/>
  <c r="I27" i="4"/>
  <c r="H27" i="4"/>
  <c r="G27" i="4"/>
  <c r="F27" i="4"/>
  <c r="E27" i="4"/>
  <c r="D27" i="4"/>
  <c r="C27" i="4"/>
  <c r="B27" i="4"/>
  <c r="L26" i="4"/>
  <c r="K26" i="4"/>
  <c r="J26" i="4"/>
  <c r="I26" i="4"/>
  <c r="H26" i="4"/>
  <c r="G26" i="4"/>
  <c r="F26" i="4"/>
  <c r="E26" i="4"/>
  <c r="D26" i="4"/>
  <c r="C26" i="4"/>
  <c r="B26" i="4"/>
  <c r="L25" i="4"/>
  <c r="K25" i="4"/>
  <c r="J25" i="4"/>
  <c r="I25" i="4"/>
  <c r="H25" i="4"/>
  <c r="G25" i="4"/>
  <c r="F25" i="4"/>
  <c r="E25" i="4"/>
  <c r="D25" i="4"/>
  <c r="C25" i="4"/>
  <c r="B25" i="4"/>
  <c r="L24" i="4"/>
  <c r="K24" i="4"/>
  <c r="J24" i="4"/>
  <c r="I24" i="4"/>
  <c r="H24" i="4"/>
  <c r="G24" i="4"/>
  <c r="F24" i="4"/>
  <c r="E24" i="4"/>
  <c r="D24" i="4"/>
  <c r="C24" i="4"/>
  <c r="B24" i="4"/>
  <c r="L23" i="4"/>
  <c r="K23" i="4"/>
  <c r="J23" i="4"/>
  <c r="I23" i="4"/>
  <c r="H23" i="4"/>
  <c r="G23" i="4"/>
  <c r="F23" i="4"/>
  <c r="E23" i="4"/>
  <c r="D23" i="4"/>
  <c r="C23" i="4"/>
  <c r="B23" i="4"/>
  <c r="L22" i="4"/>
  <c r="K22" i="4"/>
  <c r="J22" i="4"/>
  <c r="I22" i="4"/>
  <c r="H22" i="4"/>
  <c r="G22" i="4"/>
  <c r="F22" i="4"/>
  <c r="E22" i="4"/>
  <c r="D22" i="4"/>
  <c r="C22" i="4"/>
  <c r="B22" i="4"/>
  <c r="L21" i="4"/>
  <c r="K21" i="4"/>
  <c r="J21" i="4"/>
  <c r="I21" i="4"/>
  <c r="H21" i="4"/>
  <c r="G21" i="4"/>
  <c r="F21" i="4"/>
  <c r="D21" i="4"/>
  <c r="C21" i="4"/>
  <c r="B21" i="4"/>
  <c r="L20" i="4"/>
  <c r="K20" i="4"/>
  <c r="J20" i="4"/>
  <c r="I20" i="4"/>
  <c r="H20" i="4"/>
  <c r="G20" i="4"/>
  <c r="F20" i="4"/>
  <c r="E20" i="4"/>
  <c r="D20" i="4"/>
  <c r="C20" i="4"/>
  <c r="B20" i="4"/>
  <c r="L19" i="4"/>
  <c r="K19" i="4"/>
  <c r="J19" i="4"/>
  <c r="I19" i="4"/>
  <c r="H19" i="4"/>
  <c r="G19" i="4"/>
  <c r="F19" i="4"/>
  <c r="E19" i="4"/>
  <c r="D19" i="4"/>
  <c r="C19" i="4"/>
  <c r="B19" i="4"/>
  <c r="L18" i="4"/>
  <c r="K18" i="4"/>
  <c r="J18" i="4"/>
  <c r="I18" i="4"/>
  <c r="H18" i="4"/>
  <c r="G18" i="4"/>
  <c r="F18" i="4"/>
  <c r="E18" i="4"/>
  <c r="D18" i="4"/>
  <c r="C18" i="4"/>
  <c r="B18" i="4"/>
  <c r="L17" i="4"/>
  <c r="K17" i="4"/>
  <c r="J17" i="4"/>
  <c r="I17" i="4"/>
  <c r="H17" i="4"/>
  <c r="G17" i="4"/>
  <c r="F17" i="4"/>
  <c r="E17" i="4"/>
  <c r="D17" i="4"/>
  <c r="C17" i="4"/>
  <c r="B17" i="4"/>
  <c r="E21" i="4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N21" i="3"/>
  <c r="M21" i="3"/>
  <c r="L21" i="3"/>
  <c r="K21" i="3"/>
  <c r="J21" i="3"/>
  <c r="I21" i="3"/>
  <c r="G21" i="3"/>
  <c r="F21" i="3"/>
  <c r="E21" i="3"/>
  <c r="D21" i="3"/>
  <c r="C21" i="3"/>
  <c r="B21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H21" i="3"/>
  <c r="A19" i="4"/>
  <c r="A20" i="4" s="1"/>
  <c r="A21" i="4" s="1"/>
  <c r="A22" i="4" s="1"/>
  <c r="A23" i="4" s="1"/>
  <c r="A24" i="4" s="1"/>
  <c r="A25" i="4" s="1"/>
  <c r="A26" i="4" s="1"/>
  <c r="A27" i="4" s="1"/>
  <c r="A18" i="4"/>
  <c r="A18" i="3"/>
  <c r="A19" i="3" s="1"/>
  <c r="A20" i="3" s="1"/>
  <c r="A21" i="3" s="1"/>
  <c r="A22" i="3" s="1"/>
  <c r="A23" i="3" s="1"/>
  <c r="A24" i="3" s="1"/>
  <c r="A25" i="3" s="1"/>
  <c r="A26" i="3" s="1"/>
  <c r="A27" i="3" s="1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N20" i="2"/>
  <c r="M20" i="2"/>
  <c r="L20" i="2"/>
  <c r="K20" i="2"/>
  <c r="J20" i="2"/>
  <c r="I20" i="2"/>
  <c r="G20" i="2"/>
  <c r="F20" i="2"/>
  <c r="E20" i="2"/>
  <c r="D20" i="2"/>
  <c r="C20" i="2"/>
  <c r="B20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H20" i="2"/>
  <c r="A27" i="2"/>
  <c r="A17" i="2"/>
  <c r="A3" i="4"/>
  <c r="A4" i="4" s="1"/>
  <c r="A5" i="4" s="1"/>
  <c r="A6" i="4" s="1"/>
  <c r="A7" i="4" s="1"/>
  <c r="A8" i="4" s="1"/>
  <c r="A9" i="4" s="1"/>
  <c r="A10" i="4" s="1"/>
  <c r="A11" i="4" s="1"/>
  <c r="A12" i="4" s="1"/>
  <c r="A3" i="3"/>
  <c r="A4" i="3" s="1"/>
  <c r="A5" i="3" s="1"/>
  <c r="A6" i="3" s="1"/>
  <c r="A7" i="3" s="1"/>
  <c r="A8" i="3" s="1"/>
  <c r="A9" i="3" s="1"/>
  <c r="A10" i="3" s="1"/>
  <c r="A11" i="3" s="1"/>
  <c r="A12" i="3" s="1"/>
  <c r="A12" i="2"/>
  <c r="A2" i="2"/>
</calcChain>
</file>

<file path=xl/sharedStrings.xml><?xml version="1.0" encoding="utf-8"?>
<sst xmlns="http://schemas.openxmlformats.org/spreadsheetml/2006/main" count="16" uniqueCount="16">
  <si>
    <t>BS Inputs</t>
  </si>
  <si>
    <t>15% CAP, 10% buffer strategy, hedging only the one year payout</t>
  </si>
  <si>
    <t>S_0</t>
  </si>
  <si>
    <t>Skew is defined as the 90% put - 115% call, when skew steepens, keep the ATM vol the same</t>
  </si>
  <si>
    <t>K</t>
  </si>
  <si>
    <t>Scenarios defined as rates +/- 250 bps, in 50 bps increments</t>
  </si>
  <si>
    <t>r</t>
  </si>
  <si>
    <t>Skew going from 5% to 15% in 1% increment</t>
  </si>
  <si>
    <t>Time</t>
  </si>
  <si>
    <t>ATM vol ranging from 15% to 25% in 1% increments</t>
  </si>
  <si>
    <t>ATM vol</t>
  </si>
  <si>
    <t>90% vol</t>
  </si>
  <si>
    <t>115% vol</t>
  </si>
  <si>
    <t>ATM_Vol / Rates</t>
  </si>
  <si>
    <t>Skew / Rates</t>
  </si>
  <si>
    <t>Skew / ATM_Vol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</si>
</sst>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9" fontId="0" fillId="0" borderId="0" xfId="2" applyFont="1"/>
    <xf numFmtId="164" fontId="0" fillId="0" borderId="0" xfId="1" applyNumberFormat="1" applyFont="1"/>
    <xf numFmtId="164" fontId="2" fillId="2" borderId="0" xfId="1" applyNumberFormat="1" applyFont="1" applyFill="1"/>
    <xf numFmtId="164" fontId="2" fillId="0" borderId="0" xfId="1" applyNumberFormat="1" applyFont="1"/>
    <xf numFmtId="164" fontId="3" fillId="2" borderId="0" xfId="1" applyNumberFormat="1" applyFont="1" applyFill="1"/>
    <xf numFmtId="9" fontId="3" fillId="2" borderId="0" xfId="2" applyNumberFormat="1" applyFont="1" applyFill="1"/>
    <xf numFmtId="10" fontId="0" fillId="0" borderId="0" xfId="0" applyNumberFormat="1" applyFill="1"/>
    <xf numFmtId="9" fontId="3" fillId="0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50" zoomScaleNormal="150" workbookViewId="0">
      <selection activeCell="D6" sqref="D6"/>
    </sheetView>
  </sheetViews>
  <sheetFormatPr baseColWidth="10" defaultColWidth="8.83203125" defaultRowHeight="15" x14ac:dyDescent="0.2"/>
  <sheetData>
    <row r="1" spans="1:4" x14ac:dyDescent="0.2">
      <c r="A1" t="s">
        <v>0</v>
      </c>
      <c r="D1" t="s">
        <v>1</v>
      </c>
    </row>
    <row r="2" spans="1:4" x14ac:dyDescent="0.2">
      <c r="A2" t="s">
        <v>2</v>
      </c>
      <c r="B2">
        <v>6638</v>
      </c>
      <c r="D2" t="s">
        <v>3</v>
      </c>
    </row>
    <row r="3" spans="1:4" x14ac:dyDescent="0.2">
      <c r="A3" t="s">
        <v>4</v>
      </c>
      <c r="B3">
        <v>6638</v>
      </c>
      <c r="D3" t="s">
        <v>5</v>
      </c>
    </row>
    <row r="4" spans="1:4" x14ac:dyDescent="0.2">
      <c r="A4" t="s">
        <v>6</v>
      </c>
      <c r="B4">
        <v>0.03</v>
      </c>
      <c r="D4" t="s">
        <v>7</v>
      </c>
    </row>
    <row r="5" spans="1:4" x14ac:dyDescent="0.2">
      <c r="A5" t="s">
        <v>8</v>
      </c>
      <c r="B5">
        <v>1</v>
      </c>
      <c r="D5" t="s">
        <v>9</v>
      </c>
    </row>
    <row r="6" spans="1:4" x14ac:dyDescent="0.2">
      <c r="A6" t="s">
        <v>10</v>
      </c>
      <c r="B6">
        <v>0.18</v>
      </c>
    </row>
    <row r="7" spans="1:4" x14ac:dyDescent="0.2">
      <c r="A7" t="s">
        <v>11</v>
      </c>
      <c r="B7">
        <v>0.22</v>
      </c>
    </row>
    <row r="8" spans="1:4" x14ac:dyDescent="0.2">
      <c r="A8" t="s">
        <v>12</v>
      </c>
      <c r="B8">
        <v>0.14000000000000001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zoomScale="150" workbookViewId="0">
      <selection activeCell="H20" sqref="H20"/>
    </sheetView>
  </sheetViews>
  <sheetFormatPr baseColWidth="10" defaultColWidth="8.83203125" defaultRowHeight="15" x14ac:dyDescent="0.2"/>
  <sheetData>
    <row r="1" spans="1:14" x14ac:dyDescent="0.2">
      <c r="B1" s="1">
        <v>0</v>
      </c>
      <c r="C1" s="1">
        <v>4.9999999999999984E-3</v>
      </c>
      <c r="D1" s="1">
        <v>9.9999999999999985E-3</v>
      </c>
      <c r="E1" s="1">
        <v>1.4999999999999999E-2</v>
      </c>
      <c r="F1" s="1">
        <v>0.02</v>
      </c>
      <c r="G1" s="1">
        <v>2.5000000000000001E-2</v>
      </c>
      <c r="H1" s="1">
        <v>0.03</v>
      </c>
      <c r="I1" s="1">
        <v>3.5000000000000003E-2</v>
      </c>
      <c r="J1" s="1">
        <v>0.04</v>
      </c>
      <c r="K1" s="1">
        <v>4.4999999999999998E-2</v>
      </c>
      <c r="L1" s="1">
        <v>0.05</v>
      </c>
      <c r="M1" s="1">
        <v>5.5E-2</v>
      </c>
      <c r="N1" s="1">
        <v>0.06</v>
      </c>
    </row>
    <row r="2" spans="1:14" x14ac:dyDescent="0.2">
      <c r="A2" s="2">
        <f>A3-1%</f>
        <v>0.15</v>
      </c>
      <c r="B2" s="3">
        <v>31.39081202914554</v>
      </c>
      <c r="C2" s="3">
        <v>52.071028050136647</v>
      </c>
      <c r="D2" s="3">
        <v>72.520071756761809</v>
      </c>
      <c r="E2" s="3">
        <v>92.730728444687884</v>
      </c>
      <c r="F2" s="3">
        <v>112.69553169727619</v>
      </c>
      <c r="G2" s="3">
        <v>132.40679653353101</v>
      </c>
      <c r="H2" s="3">
        <v>151.85665418039031</v>
      </c>
      <c r="I2" s="3">
        <v>171.0370882792665</v>
      </c>
      <c r="J2" s="3">
        <v>189.93997232461859</v>
      </c>
      <c r="K2" s="3">
        <v>208.55710812183679</v>
      </c>
      <c r="L2" s="3">
        <v>226.88026504265329</v>
      </c>
      <c r="M2" s="3">
        <v>244.9012198489088</v>
      </c>
      <c r="N2" s="3">
        <v>262.61179685007511</v>
      </c>
    </row>
    <row r="3" spans="1:14" x14ac:dyDescent="0.2">
      <c r="A3" s="2">
        <v>0.16</v>
      </c>
      <c r="B3" s="3">
        <v>57.793164440611918</v>
      </c>
      <c r="C3" s="3">
        <v>78.393743648444797</v>
      </c>
      <c r="D3" s="3">
        <v>98.736068146324214</v>
      </c>
      <c r="E3" s="3">
        <v>118.8132549717775</v>
      </c>
      <c r="F3" s="3">
        <v>138.61825140167869</v>
      </c>
      <c r="G3" s="3">
        <v>158.14386596094411</v>
      </c>
      <c r="H3" s="3">
        <v>177.38280065231041</v>
      </c>
      <c r="I3" s="3">
        <v>196.32768423548461</v>
      </c>
      <c r="J3" s="3">
        <v>214.97110637445871</v>
      </c>
      <c r="K3" s="3">
        <v>233.30565246381411</v>
      </c>
      <c r="L3" s="3">
        <v>251.3239389380133</v>
      </c>
      <c r="M3" s="3">
        <v>269.01864886236473</v>
      </c>
      <c r="N3" s="3">
        <v>286.38256760065519</v>
      </c>
    </row>
    <row r="4" spans="1:14" x14ac:dyDescent="0.2">
      <c r="A4" s="2">
        <v>0.17</v>
      </c>
      <c r="B4" s="3">
        <v>84.184958045011854</v>
      </c>
      <c r="C4" s="3">
        <v>104.70754460900071</v>
      </c>
      <c r="D4" s="3">
        <v>124.9480039650261</v>
      </c>
      <c r="E4" s="3">
        <v>144.89973249079961</v>
      </c>
      <c r="F4" s="3">
        <v>164.55602055222289</v>
      </c>
      <c r="G4" s="3">
        <v>183.9100819469493</v>
      </c>
      <c r="H4" s="3">
        <v>202.95508429178651</v>
      </c>
      <c r="I4" s="3">
        <v>221.6841801939247</v>
      </c>
      <c r="J4" s="3">
        <v>240.09053903819969</v>
      </c>
      <c r="K4" s="3">
        <v>258.16737921607682</v>
      </c>
      <c r="L4" s="3">
        <v>275.9080006166655</v>
      </c>
      <c r="M4" s="3">
        <v>293.3058171960422</v>
      </c>
      <c r="N4" s="3">
        <v>310.35438943855269</v>
      </c>
    </row>
    <row r="5" spans="1:14" x14ac:dyDescent="0.2">
      <c r="A5" s="2">
        <v>0.18</v>
      </c>
      <c r="B5" s="3">
        <v>110.5655375436597</v>
      </c>
      <c r="C5" s="3">
        <v>131.0115077092278</v>
      </c>
      <c r="D5" s="3">
        <v>151.154154124044</v>
      </c>
      <c r="E5" s="3">
        <v>170.987111535027</v>
      </c>
      <c r="F5" s="3">
        <v>190.50395898721581</v>
      </c>
      <c r="G5" s="3">
        <v>209.69824809698841</v>
      </c>
      <c r="H5" s="5">
        <v>228.5635320743927</v>
      </c>
      <c r="I5" s="3">
        <v>247.093395342283</v>
      </c>
      <c r="J5" s="3">
        <v>265.2814835932511</v>
      </c>
      <c r="K5" s="3">
        <v>283.12153411972031</v>
      </c>
      <c r="L5" s="3">
        <v>300.60740624814798</v>
      </c>
      <c r="M5" s="3">
        <v>317.73311170499318</v>
      </c>
      <c r="N5" s="3">
        <v>334.49284474032243</v>
      </c>
    </row>
    <row r="6" spans="1:14" x14ac:dyDescent="0.2">
      <c r="A6" s="2">
        <v>0.19</v>
      </c>
      <c r="B6" s="3">
        <v>136.93424847688649</v>
      </c>
      <c r="C6" s="3">
        <v>157.3047672944285</v>
      </c>
      <c r="D6" s="3">
        <v>177.35301998236079</v>
      </c>
      <c r="E6" s="3">
        <v>197.07284705741679</v>
      </c>
      <c r="F6" s="3">
        <v>216.4580735510649</v>
      </c>
      <c r="G6" s="3">
        <v>235.5025363906623</v>
      </c>
      <c r="H6" s="3">
        <v>254.20011239031061</v>
      </c>
      <c r="I6" s="3">
        <v>272.54474670437298</v>
      </c>
      <c r="J6" s="3">
        <v>290.53048159046028</v>
      </c>
      <c r="K6" s="3">
        <v>308.15148532382273</v>
      </c>
      <c r="L6" s="3">
        <v>325.40208110111229</v>
      </c>
      <c r="M6" s="3">
        <v>342.27677576884088</v>
      </c>
      <c r="N6" s="3">
        <v>358.77028821043558</v>
      </c>
    </row>
    <row r="7" spans="1:14" x14ac:dyDescent="0.2">
      <c r="A7" s="2">
        <v>0.2</v>
      </c>
      <c r="B7" s="3">
        <v>163.2904372727514</v>
      </c>
      <c r="C7" s="3">
        <v>183.58650114874439</v>
      </c>
      <c r="D7" s="3">
        <v>203.5432730734465</v>
      </c>
      <c r="E7" s="3">
        <v>223.15477299198119</v>
      </c>
      <c r="F7" s="3">
        <v>242.41503788341649</v>
      </c>
      <c r="G7" s="3">
        <v>261.31814845033642</v>
      </c>
      <c r="H7" s="6">
        <v>279.8582563166342</v>
      </c>
      <c r="I7" s="3">
        <v>298.02961159006298</v>
      </c>
      <c r="J7" s="3">
        <v>315.82659064044333</v>
      </c>
      <c r="K7" s="3">
        <v>333.24372393988727</v>
      </c>
      <c r="L7" s="3">
        <v>350.27572380785341</v>
      </c>
      <c r="M7" s="3">
        <v>366.91751190154099</v>
      </c>
      <c r="N7" s="3">
        <v>383.16424629106518</v>
      </c>
    </row>
    <row r="8" spans="1:14" x14ac:dyDescent="0.2">
      <c r="A8" s="2">
        <v>0.21</v>
      </c>
      <c r="B8" s="3">
        <v>189.63345129563439</v>
      </c>
      <c r="C8" s="3">
        <v>209.8559204151729</v>
      </c>
      <c r="D8" s="3">
        <v>229.72371489857139</v>
      </c>
      <c r="E8" s="3">
        <v>249.231012541833</v>
      </c>
      <c r="F8" s="3">
        <v>268.37203474276788</v>
      </c>
      <c r="G8" s="3">
        <v>287.14107264628609</v>
      </c>
      <c r="H8" s="3">
        <v>305.53251372285467</v>
      </c>
      <c r="I8" s="3">
        <v>323.54086863924317</v>
      </c>
      <c r="J8" s="3">
        <v>341.16079827528728</v>
      </c>
      <c r="K8" s="3">
        <v>358.38714073612618</v>
      </c>
      <c r="L8" s="3">
        <v>375.21493820613608</v>
      </c>
      <c r="M8" s="3">
        <v>391.63946348866671</v>
      </c>
      <c r="N8" s="3">
        <v>407.65624607484119</v>
      </c>
    </row>
    <row r="9" spans="1:14" x14ac:dyDescent="0.2">
      <c r="A9" s="2">
        <v>0.22</v>
      </c>
      <c r="B9" s="3">
        <v>215.96263889471291</v>
      </c>
      <c r="C9" s="3">
        <v>236.11226227680569</v>
      </c>
      <c r="D9" s="3">
        <v>255.89324768312511</v>
      </c>
      <c r="E9" s="3">
        <v>275.29991286910757</v>
      </c>
      <c r="F9" s="3">
        <v>294.32664110115462</v>
      </c>
      <c r="G9" s="3">
        <v>312.96790686775631</v>
      </c>
      <c r="H9" s="3">
        <v>331.21830196753308</v>
      </c>
      <c r="I9" s="3">
        <v>349.07256183514318</v>
      </c>
      <c r="J9" s="3">
        <v>366.52559196083189</v>
      </c>
      <c r="K9" s="3">
        <v>383.57249425529881</v>
      </c>
      <c r="L9" s="3">
        <v>400.20859320850599</v>
      </c>
      <c r="M9" s="3">
        <v>416.42946168908412</v>
      </c>
      <c r="N9" s="3">
        <v>432.23094623034262</v>
      </c>
    </row>
    <row r="10" spans="1:14" x14ac:dyDescent="0.2">
      <c r="A10" s="2">
        <v>0.23</v>
      </c>
      <c r="B10" s="3">
        <v>242.27734945232419</v>
      </c>
      <c r="C10" s="3">
        <v>262.35478455917382</v>
      </c>
      <c r="D10" s="3">
        <v>282.05085276437791</v>
      </c>
      <c r="E10" s="3">
        <v>301.35999678541481</v>
      </c>
      <c r="F10" s="3">
        <v>320.27674307186629</v>
      </c>
      <c r="G10" s="3">
        <v>338.79572716600359</v>
      </c>
      <c r="H10" s="3">
        <v>356.91171939758527</v>
      </c>
      <c r="I10" s="3">
        <v>374.61965077517078</v>
      </c>
      <c r="J10" s="3">
        <v>391.91463893118112</v>
      </c>
      <c r="K10" s="3">
        <v>408.79201397403358</v>
      </c>
      <c r="L10" s="3">
        <v>425.24734409766643</v>
      </c>
      <c r="M10" s="3">
        <v>441.27646079699957</v>
      </c>
      <c r="N10" s="3">
        <v>456.87548353727863</v>
      </c>
    </row>
    <row r="11" spans="1:14" x14ac:dyDescent="0.2">
      <c r="A11" s="2">
        <v>0.24</v>
      </c>
      <c r="B11" s="3">
        <v>268.57693343218602</v>
      </c>
      <c r="C11" s="3">
        <v>288.58276169355122</v>
      </c>
      <c r="D11" s="3">
        <v>308.19557438787302</v>
      </c>
      <c r="E11" s="3">
        <v>327.40992649966711</v>
      </c>
      <c r="F11" s="3">
        <v>346.22047201707937</v>
      </c>
      <c r="G11" s="3">
        <v>364.62198900635548</v>
      </c>
      <c r="H11" s="3">
        <v>382.6094049877297</v>
      </c>
      <c r="I11" s="3">
        <v>400.17782247603031</v>
      </c>
      <c r="J11" s="3">
        <v>417.32254454434059</v>
      </c>
      <c r="K11" s="3">
        <v>434.03910026521538</v>
      </c>
      <c r="L11" s="3">
        <v>450.32326988105751</v>
      </c>
      <c r="M11" s="3">
        <v>466.17110955354951</v>
      </c>
      <c r="N11" s="3">
        <v>481.57897554151742</v>
      </c>
    </row>
    <row r="12" spans="1:14" x14ac:dyDescent="0.2">
      <c r="A12" s="2">
        <f>A11+1%</f>
        <v>0.25</v>
      </c>
      <c r="B12" s="3">
        <v>294.86074242749402</v>
      </c>
      <c r="C12" s="3">
        <v>314.79548166020783</v>
      </c>
      <c r="D12" s="3">
        <v>334.32650739988691</v>
      </c>
      <c r="E12" s="3">
        <v>353.4484760567575</v>
      </c>
      <c r="F12" s="3">
        <v>372.15615593498433</v>
      </c>
      <c r="G12" s="3">
        <v>390.44445207127842</v>
      </c>
      <c r="H12" s="3">
        <v>408.30843134949828</v>
      </c>
      <c r="I12" s="3">
        <v>425.74334775524699</v>
      </c>
      <c r="J12" s="3">
        <v>442.74466762966881</v>
      </c>
      <c r="K12" s="3">
        <v>459.30809477780082</v>
      </c>
      <c r="L12" s="3">
        <v>475.42959528405072</v>
      </c>
      <c r="M12" s="3">
        <v>491.1054218857073</v>
      </c>
      <c r="N12" s="3">
        <v>506.33213775490799</v>
      </c>
    </row>
    <row r="15" spans="1:14" x14ac:dyDescent="0.2">
      <c r="A15" t="s">
        <v>13</v>
      </c>
    </row>
    <row r="16" spans="1:14" x14ac:dyDescent="0.2">
      <c r="B16" s="1">
        <v>0</v>
      </c>
      <c r="C16" s="1">
        <v>4.9999999999999984E-3</v>
      </c>
      <c r="D16" s="1">
        <v>9.9999999999999985E-3</v>
      </c>
      <c r="E16" s="1">
        <v>1.4999999999999999E-2</v>
      </c>
      <c r="F16" s="1">
        <v>0.02</v>
      </c>
      <c r="G16" s="1">
        <v>2.5000000000000001E-2</v>
      </c>
      <c r="H16" s="1">
        <v>0.03</v>
      </c>
      <c r="I16" s="1">
        <v>3.5000000000000003E-2</v>
      </c>
      <c r="J16" s="1">
        <v>0.04</v>
      </c>
      <c r="K16" s="1">
        <v>4.4999999999999998E-2</v>
      </c>
      <c r="L16" s="1">
        <v>0.05</v>
      </c>
      <c r="M16" s="1">
        <v>5.5E-2</v>
      </c>
      <c r="N16" s="1">
        <v>0.06</v>
      </c>
    </row>
    <row r="17" spans="1:14" x14ac:dyDescent="0.2">
      <c r="A17" s="2">
        <f>A18-1%</f>
        <v>0.15</v>
      </c>
      <c r="B17" s="7">
        <f t="shared" ref="B17:N17" si="0">B2/$H$5-1</f>
        <v>-0.86266045267917679</v>
      </c>
      <c r="C17" s="7">
        <f t="shared" si="0"/>
        <v>-0.77218138179108731</v>
      </c>
      <c r="D17" s="7">
        <f t="shared" si="0"/>
        <v>-0.68271372471983838</v>
      </c>
      <c r="E17" s="7">
        <f t="shared" si="0"/>
        <v>-0.59428904688738382</v>
      </c>
      <c r="F17" s="7">
        <f t="shared" si="0"/>
        <v>-0.50694001499506003</v>
      </c>
      <c r="G17" s="7">
        <f t="shared" si="0"/>
        <v>-0.42070025199630123</v>
      </c>
      <c r="H17" s="7">
        <f t="shared" si="0"/>
        <v>-0.33560418496261202</v>
      </c>
      <c r="I17" s="7">
        <f t="shared" si="0"/>
        <v>-0.25168688667447847</v>
      </c>
      <c r="J17" s="7">
        <f t="shared" si="0"/>
        <v>-0.16898391182195649</v>
      </c>
      <c r="K17" s="7">
        <f t="shared" si="0"/>
        <v>-8.7531128745613862E-2</v>
      </c>
      <c r="L17" s="7">
        <f t="shared" si="0"/>
        <v>-7.3645476881741834E-3</v>
      </c>
      <c r="M17" s="7">
        <f t="shared" si="0"/>
        <v>7.1479853440480356E-2</v>
      </c>
      <c r="N17" s="7">
        <f t="shared" si="0"/>
        <v>0.14896630475854034</v>
      </c>
    </row>
    <row r="18" spans="1:14" x14ac:dyDescent="0.2">
      <c r="A18" s="2">
        <v>0.16</v>
      </c>
      <c r="B18" s="7">
        <f t="shared" ref="B18:N18" si="1">B3/$H$5-1</f>
        <v>-0.7471461701869333</v>
      </c>
      <c r="C18" s="7">
        <f t="shared" si="1"/>
        <v>-0.65701552239344441</v>
      </c>
      <c r="D18" s="7">
        <f t="shared" si="1"/>
        <v>-0.56801477799097166</v>
      </c>
      <c r="E18" s="7">
        <f t="shared" si="1"/>
        <v>-0.48017405098068644</v>
      </c>
      <c r="F18" s="7">
        <f t="shared" si="1"/>
        <v>-0.39352419809227779</v>
      </c>
      <c r="G18" s="7">
        <f t="shared" si="1"/>
        <v>-0.30809668311622185</v>
      </c>
      <c r="H18" s="7">
        <f t="shared" si="1"/>
        <v>-0.22392343589363162</v>
      </c>
      <c r="I18" s="7">
        <f t="shared" si="1"/>
        <v>-0.14103670671494517</v>
      </c>
      <c r="J18" s="7">
        <f t="shared" si="1"/>
        <v>-5.9468916920263237E-2</v>
      </c>
      <c r="K18" s="7">
        <f t="shared" si="1"/>
        <v>2.0747493470996803E-2</v>
      </c>
      <c r="L18" s="7">
        <f t="shared" si="1"/>
        <v>9.9580220243588924E-2</v>
      </c>
      <c r="M18" s="7">
        <f t="shared" si="1"/>
        <v>0.17699725070228922</v>
      </c>
      <c r="N18" s="7">
        <f t="shared" si="1"/>
        <v>0.2529670197231797</v>
      </c>
    </row>
    <row r="19" spans="1:14" x14ac:dyDescent="0.2">
      <c r="A19" s="2">
        <v>0.17</v>
      </c>
      <c r="B19" s="7">
        <f t="shared" ref="B19:N19" si="2">B4/$H$5-1</f>
        <v>-0.63167808407155968</v>
      </c>
      <c r="C19" s="7">
        <f t="shared" si="2"/>
        <v>-0.54188866588340712</v>
      </c>
      <c r="D19" s="7">
        <f t="shared" si="2"/>
        <v>-0.45333359687337127</v>
      </c>
      <c r="E19" s="7">
        <f t="shared" si="2"/>
        <v>-0.3660417688870955</v>
      </c>
      <c r="F19" s="7">
        <f t="shared" si="2"/>
        <v>-0.28004253758791531</v>
      </c>
      <c r="G19" s="7">
        <f t="shared" si="2"/>
        <v>-0.19536559363682571</v>
      </c>
      <c r="H19" s="7">
        <f t="shared" si="2"/>
        <v>-0.11204082974300189</v>
      </c>
      <c r="I19" s="7">
        <f t="shared" si="2"/>
        <v>-3.0098204284964014E-2</v>
      </c>
      <c r="J19" s="7">
        <f t="shared" si="2"/>
        <v>5.0432397763503278E-2</v>
      </c>
      <c r="K19" s="7">
        <f t="shared" si="2"/>
        <v>0.12952130584002641</v>
      </c>
      <c r="L19" s="7">
        <f t="shared" si="2"/>
        <v>0.20713920594674384</v>
      </c>
      <c r="M19" s="7">
        <f t="shared" si="2"/>
        <v>0.28325728314601495</v>
      </c>
      <c r="N19" s="7">
        <f t="shared" si="2"/>
        <v>0.35784736358352554</v>
      </c>
    </row>
    <row r="20" spans="1:14" x14ac:dyDescent="0.2">
      <c r="A20" s="2">
        <v>0.18</v>
      </c>
      <c r="B20" s="7">
        <f t="shared" ref="B20:N20" si="3">B5/$H$5-1</f>
        <v>-0.51625906136385358</v>
      </c>
      <c r="C20" s="7">
        <f t="shared" si="3"/>
        <v>-0.42680485149929226</v>
      </c>
      <c r="D20" s="7">
        <f t="shared" si="3"/>
        <v>-0.3386777288913857</v>
      </c>
      <c r="E20" s="7">
        <f t="shared" si="3"/>
        <v>-0.25190554248446673</v>
      </c>
      <c r="F20" s="7">
        <f t="shared" si="3"/>
        <v>-0.16651638492701137</v>
      </c>
      <c r="G20" s="7">
        <f t="shared" si="3"/>
        <v>-8.2538468872033532E-2</v>
      </c>
      <c r="H20" s="7">
        <f>H5/$H$5-1</f>
        <v>0</v>
      </c>
      <c r="I20" s="7">
        <f t="shared" ref="I20:N20" si="4">I5/$H$5-1</f>
        <v>8.1070952569368027E-2</v>
      </c>
      <c r="J20" s="7">
        <f t="shared" si="4"/>
        <v>0.1606465877807115</v>
      </c>
      <c r="K20" s="7">
        <f t="shared" si="4"/>
        <v>0.23869950534177997</v>
      </c>
      <c r="L20" s="7">
        <f t="shared" si="4"/>
        <v>0.31520283887766709</v>
      </c>
      <c r="M20" s="7">
        <f t="shared" si="4"/>
        <v>0.39013038878650863</v>
      </c>
      <c r="N20" s="7">
        <f t="shared" si="4"/>
        <v>0.46345675403481223</v>
      </c>
    </row>
    <row r="21" spans="1:14" x14ac:dyDescent="0.2">
      <c r="A21" s="2">
        <v>0.19</v>
      </c>
      <c r="B21" s="7">
        <f t="shared" ref="B21:N21" si="5">B6/$H$5-1</f>
        <v>-0.40089196542378758</v>
      </c>
      <c r="C21" s="7">
        <f t="shared" si="5"/>
        <v>-0.31176786661124467</v>
      </c>
      <c r="D21" s="7">
        <f t="shared" si="5"/>
        <v>-0.22405373082598301</v>
      </c>
      <c r="E21" s="7">
        <f t="shared" si="5"/>
        <v>-0.13777650673829422</v>
      </c>
      <c r="F21" s="7">
        <f t="shared" si="5"/>
        <v>-5.2963210768845359E-2</v>
      </c>
      <c r="G21" s="7">
        <f t="shared" si="5"/>
        <v>3.0359192708008687E-2</v>
      </c>
      <c r="H21" s="7">
        <f t="shared" si="5"/>
        <v>0.11216391382844804</v>
      </c>
      <c r="I21" s="7">
        <f t="shared" si="5"/>
        <v>0.19242446172762717</v>
      </c>
      <c r="J21" s="7">
        <f t="shared" si="5"/>
        <v>0.2711147703820862</v>
      </c>
      <c r="K21" s="7">
        <f t="shared" si="5"/>
        <v>0.3482093251145848</v>
      </c>
      <c r="L21" s="7">
        <f t="shared" si="5"/>
        <v>0.42368328905243136</v>
      </c>
      <c r="M21" s="7">
        <f t="shared" si="5"/>
        <v>0.49751262881883052</v>
      </c>
      <c r="N21" s="7">
        <f t="shared" si="5"/>
        <v>0.56967423873053935</v>
      </c>
    </row>
    <row r="22" spans="1:14" x14ac:dyDescent="0.2">
      <c r="A22" s="2">
        <v>0.2</v>
      </c>
      <c r="B22" s="7">
        <f t="shared" ref="B22:N22" si="6">B7/$H$5-1</f>
        <v>-0.28557965572738986</v>
      </c>
      <c r="C22" s="7">
        <f t="shared" si="6"/>
        <v>-0.19678130853792208</v>
      </c>
      <c r="D22" s="7">
        <f t="shared" si="6"/>
        <v>-0.10946741491902834</v>
      </c>
      <c r="E22" s="7">
        <f t="shared" si="6"/>
        <v>-2.3664138514673749E-2</v>
      </c>
      <c r="F22" s="7">
        <f t="shared" si="6"/>
        <v>6.0602431557259084E-2</v>
      </c>
      <c r="G22" s="7">
        <f t="shared" si="6"/>
        <v>0.14330639747587903</v>
      </c>
      <c r="H22" s="7">
        <f t="shared" si="6"/>
        <v>0.22442217171174161</v>
      </c>
      <c r="I22" s="7">
        <f t="shared" si="6"/>
        <v>0.30392459761717605</v>
      </c>
      <c r="J22" s="7">
        <f t="shared" si="6"/>
        <v>0.38178907096014036</v>
      </c>
      <c r="K22" s="7">
        <f t="shared" si="6"/>
        <v>0.45799166172941064</v>
      </c>
      <c r="L22" s="7">
        <f t="shared" si="6"/>
        <v>0.53250923552339002</v>
      </c>
      <c r="M22" s="7">
        <f t="shared" si="6"/>
        <v>0.60531957382473833</v>
      </c>
      <c r="N22" s="7">
        <f t="shared" si="6"/>
        <v>0.67640149245835568</v>
      </c>
    </row>
    <row r="23" spans="1:14" x14ac:dyDescent="0.2">
      <c r="A23" s="2">
        <v>0.21</v>
      </c>
      <c r="B23" s="7">
        <f t="shared" ref="B23:N23" si="7">B8/$H$5-1</f>
        <v>-0.17032498765414328</v>
      </c>
      <c r="C23" s="7">
        <f t="shared" si="7"/>
        <v>-8.1848628647945731E-2</v>
      </c>
      <c r="D23" s="7">
        <f t="shared" si="7"/>
        <v>5.0759752163835881E-3</v>
      </c>
      <c r="E23" s="7">
        <f t="shared" si="7"/>
        <v>9.0423350916337242E-2</v>
      </c>
      <c r="F23" s="7">
        <f t="shared" si="7"/>
        <v>0.17416821619390421</v>
      </c>
      <c r="G23" s="7">
        <f t="shared" si="7"/>
        <v>0.25628559394517758</v>
      </c>
      <c r="H23" s="7">
        <f t="shared" si="7"/>
        <v>0.336750928505122</v>
      </c>
      <c r="I23" s="7">
        <f t="shared" si="7"/>
        <v>0.41554020321114615</v>
      </c>
      <c r="J23" s="7">
        <f t="shared" si="7"/>
        <v>0.49263005860552811</v>
      </c>
      <c r="K23" s="7">
        <f t="shared" si="7"/>
        <v>0.56799791061803595</v>
      </c>
      <c r="L23" s="7">
        <f t="shared" si="7"/>
        <v>0.6416220680559459</v>
      </c>
      <c r="M23" s="7">
        <f t="shared" si="7"/>
        <v>0.7134818487194019</v>
      </c>
      <c r="N23" s="7">
        <f t="shared" si="7"/>
        <v>0.78355769345635395</v>
      </c>
    </row>
    <row r="24" spans="1:14" x14ac:dyDescent="0.2">
      <c r="A24" s="2">
        <v>0.22</v>
      </c>
      <c r="B24" s="7">
        <f t="shared" ref="B24:N24" si="8">B9/$H$5-1</f>
        <v>-5.5130812274892804E-2</v>
      </c>
      <c r="C24" s="7">
        <f t="shared" si="8"/>
        <v>3.3026835619411221E-2</v>
      </c>
      <c r="D24" s="7">
        <f t="shared" si="8"/>
        <v>0.11957163665040471</v>
      </c>
      <c r="E24" s="7">
        <f t="shared" si="8"/>
        <v>0.20447873013925588</v>
      </c>
      <c r="F24" s="7">
        <f t="shared" si="8"/>
        <v>0.28772354202750683</v>
      </c>
      <c r="G24" s="7">
        <f t="shared" si="8"/>
        <v>0.36928189736712569</v>
      </c>
      <c r="H24" s="7">
        <f t="shared" si="8"/>
        <v>0.4491301344596319</v>
      </c>
      <c r="I24" s="7">
        <f t="shared" si="8"/>
        <v>0.527245220035921</v>
      </c>
      <c r="J24" s="7">
        <f t="shared" si="8"/>
        <v>0.60360486484578568</v>
      </c>
      <c r="K24" s="7">
        <f t="shared" si="8"/>
        <v>0.67818763900819445</v>
      </c>
      <c r="L24" s="7">
        <f t="shared" si="8"/>
        <v>0.75097308646003236</v>
      </c>
      <c r="M24" s="7">
        <f t="shared" si="8"/>
        <v>0.82194183783240171</v>
      </c>
      <c r="N24" s="7">
        <f t="shared" si="8"/>
        <v>0.89107572108073829</v>
      </c>
    </row>
    <row r="25" spans="1:14" x14ac:dyDescent="0.2">
      <c r="A25" s="2">
        <v>0.23</v>
      </c>
      <c r="B25" s="7">
        <f t="shared" ref="B25:N25" si="9">B10/$H$5-1</f>
        <v>6.0000023859746454E-2</v>
      </c>
      <c r="C25" s="7">
        <f t="shared" si="9"/>
        <v>0.14784183713866828</v>
      </c>
      <c r="D25" s="7">
        <f t="shared" si="9"/>
        <v>0.2340151125796226</v>
      </c>
      <c r="E25" s="7">
        <f t="shared" si="9"/>
        <v>0.31849553623159954</v>
      </c>
      <c r="F25" s="7">
        <f t="shared" si="9"/>
        <v>0.40125916048419685</v>
      </c>
      <c r="G25" s="7">
        <f t="shared" si="9"/>
        <v>0.48228251502401798</v>
      </c>
      <c r="H25" s="7">
        <f t="shared" si="9"/>
        <v>0.56154271925329668</v>
      </c>
      <c r="I25" s="7">
        <f t="shared" si="9"/>
        <v>0.63901759556830728</v>
      </c>
      <c r="J25" s="7">
        <f t="shared" si="9"/>
        <v>0.71468578287292583</v>
      </c>
      <c r="K25" s="7">
        <f t="shared" si="9"/>
        <v>0.78852684968562814</v>
      </c>
      <c r="L25" s="7">
        <f t="shared" si="9"/>
        <v>0.86052140618503059</v>
      </c>
      <c r="M25" s="7">
        <f t="shared" si="9"/>
        <v>0.93065121453134192</v>
      </c>
      <c r="N25" s="7">
        <f t="shared" si="9"/>
        <v>0.99889929679847222</v>
      </c>
    </row>
    <row r="26" spans="1:14" x14ac:dyDescent="0.2">
      <c r="A26" s="2">
        <v>0.24</v>
      </c>
      <c r="B26" s="7">
        <f t="shared" ref="B26:N26" si="10">B11/$H$5-1</f>
        <v>0.17506467893036315</v>
      </c>
      <c r="C26" s="7">
        <f t="shared" si="10"/>
        <v>0.2625932014369794</v>
      </c>
      <c r="D26" s="7">
        <f t="shared" si="10"/>
        <v>0.3484022214338276</v>
      </c>
      <c r="E26" s="7">
        <f t="shared" si="10"/>
        <v>0.43246791615515434</v>
      </c>
      <c r="F26" s="7">
        <f t="shared" si="10"/>
        <v>0.51476689599105319</v>
      </c>
      <c r="G26" s="7">
        <f t="shared" si="10"/>
        <v>0.59527631419205829</v>
      </c>
      <c r="H26" s="7">
        <f t="shared" si="10"/>
        <v>0.67397397789249358</v>
      </c>
      <c r="I26" s="7">
        <f t="shared" si="10"/>
        <v>0.75083845985448239</v>
      </c>
      <c r="J26" s="7">
        <f t="shared" si="10"/>
        <v>0.82584921031282787</v>
      </c>
      <c r="K26" s="7">
        <f t="shared" si="10"/>
        <v>0.89898666828418028</v>
      </c>
      <c r="L26" s="7">
        <f t="shared" si="10"/>
        <v>0.97023237169123999</v>
      </c>
      <c r="M26" s="7">
        <f t="shared" si="10"/>
        <v>1.0395690656452601</v>
      </c>
      <c r="N26" s="7">
        <f t="shared" si="10"/>
        <v>1.1069808082278558</v>
      </c>
    </row>
    <row r="27" spans="1:14" x14ac:dyDescent="0.2">
      <c r="A27" s="2">
        <f>A26+1%</f>
        <v>0.25</v>
      </c>
      <c r="B27" s="7">
        <f t="shared" ref="B27:N27" si="11">B12/$H$5-1</f>
        <v>0.29006031605918192</v>
      </c>
      <c r="C27" s="7">
        <f t="shared" si="11"/>
        <v>0.37727781332040511</v>
      </c>
      <c r="D27" s="7">
        <f t="shared" si="11"/>
        <v>0.46272900302866571</v>
      </c>
      <c r="E27" s="7">
        <f t="shared" si="11"/>
        <v>0.54639050617102525</v>
      </c>
      <c r="F27" s="7">
        <f t="shared" si="11"/>
        <v>0.62823943328743792</v>
      </c>
      <c r="G27" s="7">
        <f t="shared" si="11"/>
        <v>0.70825349314341546</v>
      </c>
      <c r="H27" s="7">
        <f t="shared" si="11"/>
        <v>0.78641110261020275</v>
      </c>
      <c r="I27" s="7">
        <f t="shared" si="11"/>
        <v>0.86269149715745708</v>
      </c>
      <c r="J27" s="7">
        <f t="shared" si="11"/>
        <v>0.93707484134242636</v>
      </c>
      <c r="K27" s="7">
        <f t="shared" si="11"/>
        <v>1.0095423386627815</v>
      </c>
      <c r="L27" s="7">
        <f t="shared" si="11"/>
        <v>1.080076340128084</v>
      </c>
      <c r="M27" s="7">
        <f t="shared" si="11"/>
        <v>1.1486604508975766</v>
      </c>
      <c r="N27" s="7">
        <f t="shared" si="11"/>
        <v>1.2152796343298866</v>
      </c>
    </row>
  </sheetData>
  <conditionalFormatting sqref="B2:N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N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zoomScale="150" workbookViewId="0">
      <selection activeCell="I23" sqref="I23"/>
    </sheetView>
  </sheetViews>
  <sheetFormatPr baseColWidth="10" defaultColWidth="8.83203125" defaultRowHeight="15" x14ac:dyDescent="0.2"/>
  <sheetData>
    <row r="1" spans="1:14" x14ac:dyDescent="0.2">
      <c r="B1" s="1">
        <v>0</v>
      </c>
      <c r="C1" s="1">
        <v>4.9999999999999984E-3</v>
      </c>
      <c r="D1" s="1">
        <v>9.9999999999999985E-3</v>
      </c>
      <c r="E1" s="1">
        <v>1.4999999999999999E-2</v>
      </c>
      <c r="F1" s="1">
        <v>0.02</v>
      </c>
      <c r="G1" s="1">
        <v>2.5000000000000001E-2</v>
      </c>
      <c r="H1" s="1">
        <v>0.03</v>
      </c>
      <c r="I1" s="1">
        <v>3.5000000000000003E-2</v>
      </c>
      <c r="J1" s="1">
        <v>0.04</v>
      </c>
      <c r="K1" s="1">
        <v>4.4999999999999998E-2</v>
      </c>
      <c r="L1" s="1">
        <v>0.05</v>
      </c>
      <c r="M1" s="1">
        <v>5.5E-2</v>
      </c>
      <c r="N1" s="1">
        <v>0.06</v>
      </c>
    </row>
    <row r="2" spans="1:14" x14ac:dyDescent="0.2">
      <c r="A2" s="2">
        <v>0</v>
      </c>
      <c r="B2" s="3">
        <v>120.5188185814234</v>
      </c>
      <c r="C2" s="3">
        <v>137.6663620409295</v>
      </c>
      <c r="D2" s="3">
        <v>154.51085380267889</v>
      </c>
      <c r="E2" s="3">
        <v>171.052788442458</v>
      </c>
      <c r="F2" s="3">
        <v>187.29262458718449</v>
      </c>
      <c r="G2" s="3">
        <v>203.23078842684441</v>
      </c>
      <c r="H2" s="3">
        <v>218.86767766218961</v>
      </c>
      <c r="I2" s="3">
        <v>234.203665867273</v>
      </c>
      <c r="J2" s="3">
        <v>249.2391072433079</v>
      </c>
      <c r="K2" s="3">
        <v>263.97434173761172</v>
      </c>
      <c r="L2" s="3">
        <v>278.40970049914222</v>
      </c>
      <c r="M2" s="3">
        <v>292.54551163974429</v>
      </c>
      <c r="N2" s="3">
        <v>306.38210626838622</v>
      </c>
    </row>
    <row r="3" spans="1:14" x14ac:dyDescent="0.2">
      <c r="A3" s="2">
        <f t="shared" ref="A3:A12" si="0">A2+2%</f>
        <v>0.02</v>
      </c>
      <c r="B3" s="3">
        <v>119.8114076537383</v>
      </c>
      <c r="C3" s="3">
        <v>137.75762224271989</v>
      </c>
      <c r="D3" s="3">
        <v>155.39966000284329</v>
      </c>
      <c r="E3" s="3">
        <v>172.7364515575907</v>
      </c>
      <c r="F3" s="3">
        <v>189.76689828845161</v>
      </c>
      <c r="G3" s="3">
        <v>206.48988089606769</v>
      </c>
      <c r="H3" s="3">
        <v>222.90426835911279</v>
      </c>
      <c r="I3" s="3">
        <v>239.00892724741931</v>
      </c>
      <c r="J3" s="3">
        <v>254.80273134345131</v>
      </c>
      <c r="K3" s="3">
        <v>270.28457152392571</v>
      </c>
      <c r="L3" s="3">
        <v>285.45336585154661</v>
      </c>
      <c r="M3" s="3">
        <v>300.30806982511939</v>
      </c>
      <c r="N3" s="3">
        <v>314.84768673514009</v>
      </c>
    </row>
    <row r="4" spans="1:14" x14ac:dyDescent="0.2">
      <c r="A4" s="2">
        <f t="shared" si="0"/>
        <v>0.04</v>
      </c>
      <c r="B4" s="3">
        <v>117.97104819671451</v>
      </c>
      <c r="C4" s="3">
        <v>136.7291220547572</v>
      </c>
      <c r="D4" s="3">
        <v>155.18229700014649</v>
      </c>
      <c r="E4" s="3">
        <v>173.32787539459079</v>
      </c>
      <c r="F4" s="3">
        <v>191.16313160013209</v>
      </c>
      <c r="G4" s="3">
        <v>208.68532606668191</v>
      </c>
      <c r="H4" s="3">
        <v>225.89171983335609</v>
      </c>
      <c r="I4" s="3">
        <v>242.77958937323109</v>
      </c>
      <c r="J4" s="3">
        <v>259.34624170841238</v>
      </c>
      <c r="K4" s="3">
        <v>275.58902971989511</v>
      </c>
      <c r="L4" s="3">
        <v>291.50536757492267</v>
      </c>
      <c r="M4" s="3">
        <v>307.09274619309491</v>
      </c>
      <c r="N4" s="3">
        <v>322.34874867172471</v>
      </c>
    </row>
    <row r="5" spans="1:14" x14ac:dyDescent="0.2">
      <c r="A5" s="2">
        <f t="shared" si="0"/>
        <v>0.06</v>
      </c>
      <c r="B5" s="3">
        <v>114.9232471623729</v>
      </c>
      <c r="C5" s="3">
        <v>134.51273287837529</v>
      </c>
      <c r="D5" s="3">
        <v>153.79739608486261</v>
      </c>
      <c r="E5" s="3">
        <v>172.77279188086959</v>
      </c>
      <c r="F5" s="3">
        <v>191.43444032538699</v>
      </c>
      <c r="G5" s="3">
        <v>209.77784694478419</v>
      </c>
      <c r="H5" s="3">
        <v>227.798523751359</v>
      </c>
      <c r="I5" s="3">
        <v>245.49201066782479</v>
      </c>
      <c r="J5" s="3">
        <v>262.85389724864598</v>
      </c>
      <c r="K5" s="3">
        <v>279.87984458584128</v>
      </c>
      <c r="L5" s="3">
        <v>296.56560728448949</v>
      </c>
      <c r="M5" s="3">
        <v>312.90705539137122</v>
      </c>
      <c r="N5" s="3">
        <v>328.90019615938189</v>
      </c>
    </row>
    <row r="6" spans="1:14" x14ac:dyDescent="0.2">
      <c r="A6" s="2">
        <f t="shared" si="0"/>
        <v>0.08</v>
      </c>
      <c r="B6" s="3">
        <v>110.5655375436602</v>
      </c>
      <c r="C6" s="3">
        <v>131.0115077092278</v>
      </c>
      <c r="D6" s="3">
        <v>151.15415412404451</v>
      </c>
      <c r="E6" s="3">
        <v>170.9871115350268</v>
      </c>
      <c r="F6" s="3">
        <v>190.50395898721649</v>
      </c>
      <c r="G6" s="3">
        <v>209.69824809698841</v>
      </c>
      <c r="H6" s="4">
        <v>228.56353207439321</v>
      </c>
      <c r="I6" s="3">
        <v>247.09339534228209</v>
      </c>
      <c r="J6" s="3">
        <v>265.28148359325132</v>
      </c>
      <c r="K6" s="3">
        <v>283.12153411972031</v>
      </c>
      <c r="L6" s="3">
        <v>300.60740624814781</v>
      </c>
      <c r="M6" s="3">
        <v>317.73311170499318</v>
      </c>
      <c r="N6" s="3">
        <v>334.49284474032271</v>
      </c>
    </row>
    <row r="7" spans="1:14" x14ac:dyDescent="0.2">
      <c r="A7" s="2">
        <f t="shared" si="0"/>
        <v>0.1</v>
      </c>
      <c r="B7" s="3">
        <v>104.7662448162248</v>
      </c>
      <c r="C7" s="3">
        <v>126.0978859066031</v>
      </c>
      <c r="D7" s="3">
        <v>147.13004128352529</v>
      </c>
      <c r="E7" s="3">
        <v>167.85420257521329</v>
      </c>
      <c r="F7" s="3">
        <v>188.26176232457991</v>
      </c>
      <c r="G7" s="3">
        <v>208.344051823635</v>
      </c>
      <c r="H7" s="3">
        <v>228.09238019027569</v>
      </c>
      <c r="I7" s="3">
        <v>247.49807447116609</v>
      </c>
      <c r="J7" s="3">
        <v>266.55252054165629</v>
      </c>
      <c r="K7" s="3">
        <v>285.24720456240772</v>
      </c>
      <c r="L7" s="3">
        <v>303.57375474314608</v>
      </c>
      <c r="M7" s="3">
        <v>321.5239831565425</v>
      </c>
      <c r="N7" s="3">
        <v>339.0899273400405</v>
      </c>
    </row>
    <row r="8" spans="1:14" x14ac:dyDescent="0.2">
      <c r="A8" s="2">
        <f t="shared" si="0"/>
        <v>0.12000000000000001</v>
      </c>
      <c r="B8" s="3">
        <v>97.363996304043667</v>
      </c>
      <c r="C8" s="3">
        <v>119.61222058194031</v>
      </c>
      <c r="D8" s="3">
        <v>141.568432138021</v>
      </c>
      <c r="E8" s="3">
        <v>163.2217219386076</v>
      </c>
      <c r="F8" s="3">
        <v>184.56100092192241</v>
      </c>
      <c r="G8" s="3">
        <v>205.57504947864459</v>
      </c>
      <c r="H8" s="3">
        <v>226.2525691358444</v>
      </c>
      <c r="I8" s="3">
        <v>246.58223614533969</v>
      </c>
      <c r="J8" s="3">
        <v>266.55275665171803</v>
      </c>
      <c r="K8" s="3">
        <v>286.15292309168012</v>
      </c>
      <c r="L8" s="3">
        <v>305.37167145578837</v>
      </c>
      <c r="M8" s="3">
        <v>324.19813902609121</v>
      </c>
      <c r="N8" s="3">
        <v>342.62172218914429</v>
      </c>
    </row>
    <row r="9" spans="1:14" x14ac:dyDescent="0.2">
      <c r="A9" s="2">
        <f t="shared" si="0"/>
        <v>0.14000000000000001</v>
      </c>
      <c r="B9" s="3">
        <v>88.169711217327745</v>
      </c>
      <c r="C9" s="3">
        <v>111.3631311099624</v>
      </c>
      <c r="D9" s="3">
        <v>134.27741348359251</v>
      </c>
      <c r="E9" s="3">
        <v>156.89899491903051</v>
      </c>
      <c r="F9" s="3">
        <v>179.21399010136099</v>
      </c>
      <c r="G9" s="3">
        <v>201.20825471195451</v>
      </c>
      <c r="H9" s="3">
        <v>222.86745233389499</v>
      </c>
      <c r="I9" s="3">
        <v>244.17712498174839</v>
      </c>
      <c r="J9" s="3">
        <v>265.12276681337153</v>
      </c>
      <c r="K9" s="3">
        <v>285.68990053116681</v>
      </c>
      <c r="L9" s="3">
        <v>305.86415593403848</v>
      </c>
      <c r="M9" s="3">
        <v>325.63135003961679</v>
      </c>
      <c r="N9" s="3">
        <v>344.97756816050611</v>
      </c>
    </row>
    <row r="10" spans="1:14" x14ac:dyDescent="0.2">
      <c r="A10" s="2">
        <f t="shared" si="0"/>
        <v>0.16</v>
      </c>
      <c r="B10" s="3">
        <v>76.974352631370721</v>
      </c>
      <c r="C10" s="3">
        <v>101.13265730815201</v>
      </c>
      <c r="D10" s="3">
        <v>125.0323930373274</v>
      </c>
      <c r="E10" s="3">
        <v>148.6571793963501</v>
      </c>
      <c r="F10" s="3">
        <v>171.99007636878639</v>
      </c>
      <c r="G10" s="3">
        <v>195.01366034377759</v>
      </c>
      <c r="H10" s="3">
        <v>217.71010743555919</v>
      </c>
      <c r="I10" s="3">
        <v>240.06128369163059</v>
      </c>
      <c r="J10" s="3">
        <v>262.04884164927012</v>
      </c>
      <c r="K10" s="3">
        <v>283.65432259276082</v>
      </c>
      <c r="L10" s="3">
        <v>304.85926376066141</v>
      </c>
      <c r="M10" s="3">
        <v>325.64530965502672</v>
      </c>
      <c r="N10" s="3">
        <v>345.9943265152699</v>
      </c>
    </row>
    <row r="11" spans="1:14" x14ac:dyDescent="0.2">
      <c r="A11" s="2">
        <f t="shared" si="0"/>
        <v>0.18</v>
      </c>
      <c r="B11" s="3">
        <v>63.568354963438942</v>
      </c>
      <c r="C11" s="3">
        <v>88.69186519457503</v>
      </c>
      <c r="D11" s="3">
        <v>113.5877642610114</v>
      </c>
      <c r="E11" s="3">
        <v>138.23696248381029</v>
      </c>
      <c r="F11" s="3">
        <v>162.61943048077001</v>
      </c>
      <c r="G11" s="3">
        <v>186.71428149980341</v>
      </c>
      <c r="H11" s="3">
        <v>210.49986682924521</v>
      </c>
      <c r="I11" s="3">
        <v>233.95388404693321</v>
      </c>
      <c r="J11" s="3">
        <v>257.05349765397932</v>
      </c>
      <c r="K11" s="3">
        <v>279.77547141582193</v>
      </c>
      <c r="L11" s="3">
        <v>302.09631150727978</v>
      </c>
      <c r="M11" s="3">
        <v>323.99241933425759</v>
      </c>
      <c r="N11" s="3">
        <v>345.44025268801738</v>
      </c>
    </row>
    <row r="12" spans="1:14" x14ac:dyDescent="0.2">
      <c r="A12" s="2">
        <f t="shared" si="0"/>
        <v>0.19999999999999998</v>
      </c>
      <c r="B12" s="3">
        <v>47.782407580259417</v>
      </c>
      <c r="C12" s="3">
        <v>73.836818836400539</v>
      </c>
      <c r="D12" s="3">
        <v>99.707463606500653</v>
      </c>
      <c r="E12" s="3">
        <v>125.37325190877969</v>
      </c>
      <c r="F12" s="3">
        <v>150.8115868211473</v>
      </c>
      <c r="G12" s="3">
        <v>175.99843008821099</v>
      </c>
      <c r="H12" s="3">
        <v>200.90838982913479</v>
      </c>
      <c r="I12" s="3">
        <v>225.51483107501519</v>
      </c>
      <c r="J12" s="3">
        <v>249.7900094777124</v>
      </c>
      <c r="K12" s="3">
        <v>273.70522810022038</v>
      </c>
      <c r="L12" s="3">
        <v>297.23101673033909</v>
      </c>
      <c r="M12" s="3">
        <v>320.33733266404471</v>
      </c>
      <c r="N12" s="3">
        <v>342.99378139497458</v>
      </c>
    </row>
    <row r="15" spans="1:14" x14ac:dyDescent="0.2">
      <c r="A15" t="s">
        <v>14</v>
      </c>
    </row>
    <row r="16" spans="1:14" x14ac:dyDescent="0.2">
      <c r="B16" s="1">
        <v>0</v>
      </c>
      <c r="C16" s="1">
        <v>4.9999999999999984E-3</v>
      </c>
      <c r="D16" s="1">
        <v>9.9999999999999985E-3</v>
      </c>
      <c r="E16" s="1">
        <v>1.4999999999999999E-2</v>
      </c>
      <c r="F16" s="1">
        <v>0.02</v>
      </c>
      <c r="G16" s="1">
        <v>2.5000000000000001E-2</v>
      </c>
      <c r="H16" s="1">
        <v>0.03</v>
      </c>
      <c r="I16" s="1">
        <v>3.5000000000000003E-2</v>
      </c>
      <c r="J16" s="1">
        <v>0.04</v>
      </c>
      <c r="K16" s="1">
        <v>4.4999999999999998E-2</v>
      </c>
      <c r="L16" s="1">
        <v>0.05</v>
      </c>
      <c r="M16" s="1">
        <v>5.5E-2</v>
      </c>
      <c r="N16" s="1">
        <v>0.06</v>
      </c>
    </row>
    <row r="17" spans="1:14" x14ac:dyDescent="0.2">
      <c r="A17" s="2">
        <v>0</v>
      </c>
      <c r="B17" s="7">
        <f t="shared" ref="B17:N17" si="1">B2/$H$6-1</f>
        <v>-0.47271195239406449</v>
      </c>
      <c r="C17" s="7">
        <f t="shared" si="1"/>
        <v>-0.39768885792278685</v>
      </c>
      <c r="D17" s="7">
        <f t="shared" si="1"/>
        <v>-0.32399166043518934</v>
      </c>
      <c r="E17" s="7">
        <f t="shared" si="1"/>
        <v>-0.25161819608745162</v>
      </c>
      <c r="F17" s="7">
        <f t="shared" si="1"/>
        <v>-0.18056645831748785</v>
      </c>
      <c r="G17" s="7">
        <f t="shared" si="1"/>
        <v>-0.1108345824796908</v>
      </c>
      <c r="H17" s="7">
        <f t="shared" si="1"/>
        <v>-4.2420828573159208E-2</v>
      </c>
      <c r="I17" s="7">
        <f t="shared" si="1"/>
        <v>2.4676437845054133E-2</v>
      </c>
      <c r="J17" s="7">
        <f t="shared" si="1"/>
        <v>9.045876645879436E-2</v>
      </c>
      <c r="K17" s="7">
        <f t="shared" si="1"/>
        <v>0.15492764458895802</v>
      </c>
      <c r="L17" s="7">
        <f t="shared" si="1"/>
        <v>0.21808452106228837</v>
      </c>
      <c r="M17" s="7">
        <f t="shared" si="1"/>
        <v>0.27993083141770025</v>
      </c>
      <c r="N17" s="7">
        <f t="shared" si="1"/>
        <v>0.34046802430697687</v>
      </c>
    </row>
    <row r="18" spans="1:14" x14ac:dyDescent="0.2">
      <c r="A18" s="2">
        <f t="shared" ref="A18:A27" si="2">A17+2%</f>
        <v>0.02</v>
      </c>
      <c r="B18" s="7">
        <f t="shared" ref="B18:N18" si="3">B3/$H$6-1</f>
        <v>-0.47580698212721928</v>
      </c>
      <c r="C18" s="7">
        <f t="shared" si="3"/>
        <v>-0.39728958074605569</v>
      </c>
      <c r="D18" s="7">
        <f t="shared" si="3"/>
        <v>-0.32010299896720373</v>
      </c>
      <c r="E18" s="7">
        <f t="shared" si="3"/>
        <v>-0.24425191547456415</v>
      </c>
      <c r="F18" s="7">
        <f t="shared" si="3"/>
        <v>-0.16974113689017545</v>
      </c>
      <c r="G18" s="7">
        <f t="shared" si="3"/>
        <v>-9.6575560317911702E-2</v>
      </c>
      <c r="H18" s="7">
        <f t="shared" si="3"/>
        <v>-2.4760134147027602E-2</v>
      </c>
      <c r="I18" s="7">
        <f t="shared" si="3"/>
        <v>4.570018269417675E-2</v>
      </c>
      <c r="J18" s="7">
        <f t="shared" si="3"/>
        <v>0.11480046283375489</v>
      </c>
      <c r="K18" s="7">
        <f t="shared" si="3"/>
        <v>0.18253585368969993</v>
      </c>
      <c r="L18" s="7">
        <f t="shared" si="3"/>
        <v>0.24890162162280904</v>
      </c>
      <c r="M18" s="7">
        <f t="shared" si="3"/>
        <v>0.31389319678248007</v>
      </c>
      <c r="N18" s="7">
        <f t="shared" si="3"/>
        <v>0.37750621841398124</v>
      </c>
    </row>
    <row r="19" spans="1:14" x14ac:dyDescent="0.2">
      <c r="A19" s="2">
        <f t="shared" si="2"/>
        <v>0.04</v>
      </c>
      <c r="B19" s="7">
        <f t="shared" ref="B19:N19" si="4">B4/$H$6-1</f>
        <v>-0.483858832920393</v>
      </c>
      <c r="C19" s="7">
        <f t="shared" si="4"/>
        <v>-0.40178942452528077</v>
      </c>
      <c r="D19" s="7">
        <f t="shared" si="4"/>
        <v>-0.32105399495822662</v>
      </c>
      <c r="E19" s="7">
        <f t="shared" si="4"/>
        <v>-0.24166434679450188</v>
      </c>
      <c r="F19" s="7">
        <f t="shared" si="4"/>
        <v>-0.16363240511215049</v>
      </c>
      <c r="G19" s="7">
        <f t="shared" si="4"/>
        <v>-8.6970155856890163E-2</v>
      </c>
      <c r="H19" s="7">
        <f t="shared" si="4"/>
        <v>-1.1689582396580578E-2</v>
      </c>
      <c r="I19" s="7">
        <f t="shared" si="4"/>
        <v>6.2197399426829003E-2</v>
      </c>
      <c r="J19" s="7">
        <f t="shared" si="4"/>
        <v>0.13467900742800887</v>
      </c>
      <c r="K19" s="7">
        <f t="shared" si="4"/>
        <v>0.20574366006120326</v>
      </c>
      <c r="L19" s="7">
        <f t="shared" si="4"/>
        <v>0.27538004391725557</v>
      </c>
      <c r="M19" s="7">
        <f t="shared" si="4"/>
        <v>0.34357718139016979</v>
      </c>
      <c r="N19" s="7">
        <f t="shared" si="4"/>
        <v>0.4103244981653773</v>
      </c>
    </row>
    <row r="20" spans="1:14" x14ac:dyDescent="0.2">
      <c r="A20" s="2">
        <f t="shared" si="2"/>
        <v>0.06</v>
      </c>
      <c r="B20" s="7">
        <f t="shared" ref="B20:N20" si="5">B5/$H$6-1</f>
        <v>-0.49719342311805237</v>
      </c>
      <c r="C20" s="7">
        <f t="shared" si="5"/>
        <v>-0.41148646217720386</v>
      </c>
      <c r="D20" s="7">
        <f t="shared" si="5"/>
        <v>-0.32711314578913486</v>
      </c>
      <c r="E20" s="7">
        <f t="shared" si="5"/>
        <v>-0.24409292106741143</v>
      </c>
      <c r="F20" s="7">
        <f t="shared" si="5"/>
        <v>-0.16244538843108791</v>
      </c>
      <c r="G20" s="7">
        <f t="shared" si="5"/>
        <v>-8.2190211881634001E-2</v>
      </c>
      <c r="H20" s="7">
        <f t="shared" si="5"/>
        <v>-3.3470270436021243E-3</v>
      </c>
      <c r="I20" s="7">
        <f t="shared" si="5"/>
        <v>7.4064652570742018E-2</v>
      </c>
      <c r="J20" s="7">
        <f t="shared" si="5"/>
        <v>0.15002553059554535</v>
      </c>
      <c r="K20" s="7">
        <f t="shared" si="5"/>
        <v>0.22451662365256753</v>
      </c>
      <c r="L20" s="7">
        <f t="shared" si="5"/>
        <v>0.29751935749734071</v>
      </c>
      <c r="M20" s="7">
        <f t="shared" si="5"/>
        <v>0.3690156629602912</v>
      </c>
      <c r="N20" s="7">
        <f t="shared" si="5"/>
        <v>0.43898807116933658</v>
      </c>
    </row>
    <row r="21" spans="1:14" x14ac:dyDescent="0.2">
      <c r="A21" s="2">
        <f t="shared" si="2"/>
        <v>0.08</v>
      </c>
      <c r="B21" s="7">
        <f t="shared" ref="B21:N21" si="6">B6/$H$6-1</f>
        <v>-0.51625906136385247</v>
      </c>
      <c r="C21" s="7">
        <f t="shared" si="6"/>
        <v>-0.42680485149929359</v>
      </c>
      <c r="D21" s="7">
        <f t="shared" si="6"/>
        <v>-0.33867772889138492</v>
      </c>
      <c r="E21" s="7">
        <f t="shared" si="6"/>
        <v>-0.25190554248446928</v>
      </c>
      <c r="F21" s="7">
        <f t="shared" si="6"/>
        <v>-0.16651638492701026</v>
      </c>
      <c r="G21" s="7">
        <f t="shared" si="6"/>
        <v>-8.2538468872035531E-2</v>
      </c>
      <c r="H21" s="7">
        <f>H6/$H$6-1</f>
        <v>0</v>
      </c>
      <c r="I21" s="7">
        <f t="shared" ref="I21:N21" si="7">I6/$H$6-1</f>
        <v>8.1070952569361587E-2</v>
      </c>
      <c r="J21" s="7">
        <f t="shared" si="7"/>
        <v>0.16064658778070995</v>
      </c>
      <c r="K21" s="7">
        <f t="shared" si="7"/>
        <v>0.23869950534177731</v>
      </c>
      <c r="L21" s="7">
        <f t="shared" si="7"/>
        <v>0.31520283887766332</v>
      </c>
      <c r="M21" s="7">
        <f t="shared" si="7"/>
        <v>0.39013038878650552</v>
      </c>
      <c r="N21" s="7">
        <f t="shared" si="7"/>
        <v>0.46345675403481024</v>
      </c>
    </row>
    <row r="22" spans="1:14" x14ac:dyDescent="0.2">
      <c r="A22" s="2">
        <f t="shared" si="2"/>
        <v>0.1</v>
      </c>
      <c r="B22" s="7">
        <f t="shared" ref="B22:N22" si="8">B7/$H$6-1</f>
        <v>-0.5416318436043186</v>
      </c>
      <c r="C22" s="7">
        <f t="shared" si="8"/>
        <v>-0.44830268957534058</v>
      </c>
      <c r="D22" s="7">
        <f t="shared" si="8"/>
        <v>-0.35628383080973225</v>
      </c>
      <c r="E22" s="7">
        <f t="shared" si="8"/>
        <v>-0.26561249272005538</v>
      </c>
      <c r="F22" s="7">
        <f t="shared" si="8"/>
        <v>-0.17632633423207611</v>
      </c>
      <c r="G22" s="7">
        <f t="shared" si="8"/>
        <v>-8.8463282253518627E-2</v>
      </c>
      <c r="H22" s="7">
        <f t="shared" si="8"/>
        <v>-2.0613607072023088E-3</v>
      </c>
      <c r="I22" s="7">
        <f t="shared" si="8"/>
        <v>8.2841484925119335E-2</v>
      </c>
      <c r="J22" s="7">
        <f t="shared" si="8"/>
        <v>0.16620756654608559</v>
      </c>
      <c r="K22" s="7">
        <f t="shared" si="8"/>
        <v>0.24799963482173104</v>
      </c>
      <c r="L22" s="7">
        <f t="shared" si="8"/>
        <v>0.3281810619042167</v>
      </c>
      <c r="M22" s="7">
        <f t="shared" si="8"/>
        <v>0.40671602437388121</v>
      </c>
      <c r="N22" s="7">
        <f t="shared" si="8"/>
        <v>0.48356968525352073</v>
      </c>
    </row>
    <row r="23" spans="1:14" x14ac:dyDescent="0.2">
      <c r="A23" s="2">
        <f t="shared" si="2"/>
        <v>0.12000000000000001</v>
      </c>
      <c r="B23" s="7">
        <f t="shared" ref="B23:N23" si="9">B8/$H$6-1</f>
        <v>-0.57401779968838818</v>
      </c>
      <c r="C23" s="7">
        <f t="shared" si="9"/>
        <v>-0.47667845567328415</v>
      </c>
      <c r="D23" s="7">
        <f t="shared" si="9"/>
        <v>-0.380616711453588</v>
      </c>
      <c r="E23" s="7">
        <f t="shared" si="9"/>
        <v>-0.28588029570053219</v>
      </c>
      <c r="F23" s="7">
        <f t="shared" si="9"/>
        <v>-0.19251772473549622</v>
      </c>
      <c r="G23" s="7">
        <f t="shared" si="9"/>
        <v>-0.10057808604509266</v>
      </c>
      <c r="H23" s="7">
        <f t="shared" si="9"/>
        <v>-1.011081215614329E-2</v>
      </c>
      <c r="I23" s="7">
        <f t="shared" si="9"/>
        <v>7.8834553821480746E-2</v>
      </c>
      <c r="J23" s="7">
        <f t="shared" si="9"/>
        <v>0.16620859956329359</v>
      </c>
      <c r="K23" s="7">
        <f t="shared" si="9"/>
        <v>0.2519622902858476</v>
      </c>
      <c r="L23" s="7">
        <f t="shared" si="9"/>
        <v>0.33604721927553838</v>
      </c>
      <c r="M23" s="7">
        <f t="shared" si="9"/>
        <v>0.41841586049943746</v>
      </c>
      <c r="N23" s="7">
        <f t="shared" si="9"/>
        <v>0.49902182154599917</v>
      </c>
    </row>
    <row r="24" spans="1:14" x14ac:dyDescent="0.2">
      <c r="A24" s="2">
        <f t="shared" si="2"/>
        <v>0.14000000000000001</v>
      </c>
      <c r="B24" s="7">
        <f t="shared" ref="B24:N24" si="10">B9/$H$6-1</f>
        <v>-0.61424418665078151</v>
      </c>
      <c r="C24" s="7">
        <f t="shared" si="10"/>
        <v>-0.51276946895572229</v>
      </c>
      <c r="D24" s="7">
        <f t="shared" si="10"/>
        <v>-0.41251602009769572</v>
      </c>
      <c r="E24" s="7">
        <f t="shared" si="10"/>
        <v>-0.31354318208574594</v>
      </c>
      <c r="F24" s="7">
        <f t="shared" si="10"/>
        <v>-0.21591170527138093</v>
      </c>
      <c r="G24" s="7">
        <f t="shared" si="10"/>
        <v>-0.11968347318650585</v>
      </c>
      <c r="H24" s="7">
        <f t="shared" si="10"/>
        <v>-2.4921209822064916E-2</v>
      </c>
      <c r="I24" s="7">
        <f t="shared" si="10"/>
        <v>6.8311828950356146E-2</v>
      </c>
      <c r="J24" s="7">
        <f t="shared" si="10"/>
        <v>0.15995217787883576</v>
      </c>
      <c r="K24" s="7">
        <f t="shared" si="10"/>
        <v>0.24993649659815387</v>
      </c>
      <c r="L24" s="7">
        <f t="shared" si="10"/>
        <v>0.33820191330647331</v>
      </c>
      <c r="M24" s="7">
        <f t="shared" si="10"/>
        <v>0.42468637531218145</v>
      </c>
      <c r="N24" s="7">
        <f t="shared" si="10"/>
        <v>0.50932900375472978</v>
      </c>
    </row>
    <row r="25" spans="1:14" x14ac:dyDescent="0.2">
      <c r="A25" s="2">
        <f t="shared" si="2"/>
        <v>0.16</v>
      </c>
      <c r="B25" s="7">
        <f t="shared" ref="B25:N25" si="11">B10/$H$6-1</f>
        <v>-0.66322557263283377</v>
      </c>
      <c r="C25" s="7">
        <f t="shared" si="11"/>
        <v>-0.55752933816565631</v>
      </c>
      <c r="D25" s="7">
        <f t="shared" si="11"/>
        <v>-0.45296438192672106</v>
      </c>
      <c r="E25" s="7">
        <f t="shared" si="11"/>
        <v>-0.34960237074055656</v>
      </c>
      <c r="F25" s="7">
        <f t="shared" si="11"/>
        <v>-0.24751741973952868</v>
      </c>
      <c r="G25" s="7">
        <f t="shared" si="11"/>
        <v>-0.14678575985470754</v>
      </c>
      <c r="H25" s="7">
        <f t="shared" si="11"/>
        <v>-4.7485373280377163E-2</v>
      </c>
      <c r="I25" s="7">
        <f t="shared" si="11"/>
        <v>5.030440120034152E-2</v>
      </c>
      <c r="J25" s="7">
        <f t="shared" si="11"/>
        <v>0.14650329066483825</v>
      </c>
      <c r="K25" s="7">
        <f t="shared" si="11"/>
        <v>0.24103053544183317</v>
      </c>
      <c r="L25" s="7">
        <f t="shared" si="11"/>
        <v>0.33380535815939072</v>
      </c>
      <c r="M25" s="7">
        <f t="shared" si="11"/>
        <v>0.42474745073958342</v>
      </c>
      <c r="N25" s="7">
        <f t="shared" si="11"/>
        <v>0.51377747523894213</v>
      </c>
    </row>
    <row r="26" spans="1:14" x14ac:dyDescent="0.2">
      <c r="A26" s="2">
        <f t="shared" si="2"/>
        <v>0.18</v>
      </c>
      <c r="B26" s="7">
        <f t="shared" ref="B26:N26" si="12">B11/$H$6-1</f>
        <v>-0.72187883873465597</v>
      </c>
      <c r="C26" s="7">
        <f t="shared" si="12"/>
        <v>-0.61195968407721546</v>
      </c>
      <c r="D26" s="7">
        <f t="shared" si="12"/>
        <v>-0.50303636266856133</v>
      </c>
      <c r="E26" s="7">
        <f t="shared" si="12"/>
        <v>-0.39519239473943413</v>
      </c>
      <c r="F26" s="7">
        <f t="shared" si="12"/>
        <v>-0.28851541186438967</v>
      </c>
      <c r="G26" s="7">
        <f t="shared" si="12"/>
        <v>-0.18309679674082324</v>
      </c>
      <c r="H26" s="7">
        <f t="shared" si="12"/>
        <v>-7.903126575445385E-2</v>
      </c>
      <c r="I26" s="7">
        <f t="shared" si="12"/>
        <v>2.3583604626767674E-2</v>
      </c>
      <c r="J26" s="7">
        <f t="shared" si="12"/>
        <v>0.12464790564364026</v>
      </c>
      <c r="K26" s="7">
        <f t="shared" si="12"/>
        <v>0.22405997525782095</v>
      </c>
      <c r="L26" s="7">
        <f t="shared" si="12"/>
        <v>0.32171702443307093</v>
      </c>
      <c r="M26" s="7">
        <f t="shared" si="12"/>
        <v>0.41751580575331704</v>
      </c>
      <c r="N26" s="7">
        <f t="shared" si="12"/>
        <v>0.51135331849694632</v>
      </c>
    </row>
    <row r="27" spans="1:14" x14ac:dyDescent="0.2">
      <c r="A27" s="2">
        <f t="shared" si="2"/>
        <v>0.19999999999999998</v>
      </c>
      <c r="B27" s="7">
        <f t="shared" ref="B27:N27" si="13">B12/$H$6-1</f>
        <v>-0.79094474456796926</v>
      </c>
      <c r="C27" s="7">
        <f t="shared" si="13"/>
        <v>-0.67695275722127002</v>
      </c>
      <c r="D27" s="7">
        <f t="shared" si="13"/>
        <v>-0.56376477602714103</v>
      </c>
      <c r="E27" s="7">
        <f t="shared" si="13"/>
        <v>-0.45147307284360216</v>
      </c>
      <c r="F27" s="7">
        <f t="shared" si="13"/>
        <v>-0.34017651262030324</v>
      </c>
      <c r="G27" s="7">
        <f t="shared" si="13"/>
        <v>-0.22998026635794744</v>
      </c>
      <c r="H27" s="7">
        <f t="shared" si="13"/>
        <v>-0.12099542737315239</v>
      </c>
      <c r="I27" s="7">
        <f t="shared" si="13"/>
        <v>-1.3338527680722523E-2</v>
      </c>
      <c r="J27" s="7">
        <f t="shared" si="13"/>
        <v>9.2869047002696714E-2</v>
      </c>
      <c r="K27" s="7">
        <f t="shared" si="13"/>
        <v>0.19750174324018754</v>
      </c>
      <c r="L27" s="7">
        <f t="shared" si="13"/>
        <v>0.3004306243989785</v>
      </c>
      <c r="M27" s="7">
        <f t="shared" si="13"/>
        <v>0.40152424910803708</v>
      </c>
      <c r="N27" s="7">
        <f t="shared" si="13"/>
        <v>0.50064963680792451</v>
      </c>
    </row>
  </sheetData>
  <conditionalFormatting sqref="B2:N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N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"/>
  <sheetViews>
    <sheetView tabSelected="1" zoomScale="150" zoomScaleNormal="150" workbookViewId="0">
      <selection activeCell="E18" sqref="E18"/>
    </sheetView>
  </sheetViews>
  <sheetFormatPr baseColWidth="10" defaultColWidth="8.83203125" defaultRowHeight="15" x14ac:dyDescent="0.2"/>
  <sheetData>
    <row r="1" spans="1:14" x14ac:dyDescent="0.2">
      <c r="B1" s="1">
        <v>0.15</v>
      </c>
      <c r="C1" s="1">
        <v>0.16</v>
      </c>
      <c r="D1" s="1">
        <v>0.17</v>
      </c>
      <c r="E1" s="1">
        <v>0.18</v>
      </c>
      <c r="F1" s="1">
        <v>0.19</v>
      </c>
      <c r="G1" s="1">
        <v>0.2</v>
      </c>
      <c r="H1" s="1">
        <v>0.21</v>
      </c>
      <c r="I1" s="1">
        <v>0.22</v>
      </c>
      <c r="J1" s="1">
        <v>0.23</v>
      </c>
      <c r="K1" s="1">
        <v>0.24</v>
      </c>
      <c r="L1" s="1">
        <v>0.25</v>
      </c>
      <c r="M1" s="1"/>
      <c r="N1" s="1"/>
    </row>
    <row r="2" spans="1:14" x14ac:dyDescent="0.2">
      <c r="A2" s="2">
        <v>0</v>
      </c>
      <c r="B2" s="3">
        <v>261.83031006405531</v>
      </c>
      <c r="C2" s="3">
        <v>248.8082217474321</v>
      </c>
      <c r="D2" s="3">
        <v>234.42494554538831</v>
      </c>
      <c r="E2" s="3">
        <v>218.86767766218961</v>
      </c>
      <c r="F2" s="3">
        <v>202.2935395164304</v>
      </c>
      <c r="G2" s="3">
        <v>184.83482742823679</v>
      </c>
      <c r="H2" s="3">
        <v>166.60337774897289</v>
      </c>
      <c r="I2" s="3">
        <v>147.6941489918627</v>
      </c>
      <c r="J2" s="3">
        <v>128.18814296878239</v>
      </c>
      <c r="K2" s="3">
        <v>108.15478163885651</v>
      </c>
      <c r="L2" s="3">
        <v>87.653841669862686</v>
      </c>
      <c r="M2" s="3"/>
      <c r="N2" s="3"/>
    </row>
    <row r="3" spans="1:14" x14ac:dyDescent="0.2">
      <c r="A3" s="2">
        <f t="shared" ref="A3:A12" si="0">A2+2%</f>
        <v>0.02</v>
      </c>
      <c r="B3" s="3">
        <v>265.92911250740673</v>
      </c>
      <c r="C3" s="3">
        <v>252.8968776852532</v>
      </c>
      <c r="D3" s="3">
        <v>238.49125390971361</v>
      </c>
      <c r="E3" s="3">
        <v>222.90426835911279</v>
      </c>
      <c r="F3" s="3">
        <v>206.29627611914381</v>
      </c>
      <c r="G3" s="3">
        <v>188.8017230556591</v>
      </c>
      <c r="H3" s="3">
        <v>170.53385984359971</v>
      </c>
      <c r="I3" s="3">
        <v>151.58856066155789</v>
      </c>
      <c r="J3" s="3">
        <v>132.0474048218482</v>
      </c>
      <c r="K3" s="3">
        <v>111.9801627490306</v>
      </c>
      <c r="L3" s="3">
        <v>91.446804961096632</v>
      </c>
      <c r="M3" s="3"/>
      <c r="N3" s="3"/>
    </row>
    <row r="4" spans="1:14" x14ac:dyDescent="0.2">
      <c r="A4" s="2">
        <f t="shared" si="0"/>
        <v>0.04</v>
      </c>
      <c r="B4" s="3">
        <v>268.36519298434308</v>
      </c>
      <c r="C4" s="3">
        <v>255.5660075021317</v>
      </c>
      <c r="D4" s="3">
        <v>241.34003635584759</v>
      </c>
      <c r="E4" s="3">
        <v>225.89171983335609</v>
      </c>
      <c r="F4" s="3">
        <v>209.39088828793641</v>
      </c>
      <c r="G4" s="3">
        <v>191.97919505460939</v>
      </c>
      <c r="H4" s="3">
        <v>173.7753751297862</v>
      </c>
      <c r="I4" s="3">
        <v>154.87948648821089</v>
      </c>
      <c r="J4" s="3">
        <v>135.37631228171381</v>
      </c>
      <c r="K4" s="3">
        <v>115.3380873724636</v>
      </c>
      <c r="L4" s="3">
        <v>94.826687077723136</v>
      </c>
      <c r="M4" s="3"/>
      <c r="N4" s="3"/>
    </row>
    <row r="5" spans="1:14" x14ac:dyDescent="0.2">
      <c r="A5" s="2">
        <f t="shared" si="0"/>
        <v>0.06</v>
      </c>
      <c r="B5" s="3">
        <v>269.06905969173039</v>
      </c>
      <c r="C5" s="3">
        <v>256.7622144873817</v>
      </c>
      <c r="D5" s="3">
        <v>242.93030928264471</v>
      </c>
      <c r="E5" s="3">
        <v>227.798523751359</v>
      </c>
      <c r="F5" s="3">
        <v>211.55307515841631</v>
      </c>
      <c r="G5" s="3">
        <v>194.34842688216671</v>
      </c>
      <c r="H5" s="3">
        <v>176.31329086076309</v>
      </c>
      <c r="I5" s="3">
        <v>157.55549756456841</v>
      </c>
      <c r="J5" s="3">
        <v>138.16590087873459</v>
      </c>
      <c r="K5" s="3">
        <v>118.2214958387826</v>
      </c>
      <c r="L5" s="3">
        <v>97.78790780640179</v>
      </c>
      <c r="M5" s="3"/>
      <c r="N5" s="3"/>
    </row>
    <row r="6" spans="1:14" x14ac:dyDescent="0.2">
      <c r="A6" s="2">
        <f t="shared" si="0"/>
        <v>0.08</v>
      </c>
      <c r="B6" s="3">
        <v>267.91680596897709</v>
      </c>
      <c r="C6" s="3">
        <v>256.38722430468692</v>
      </c>
      <c r="D6" s="3">
        <v>243.18453773976259</v>
      </c>
      <c r="E6" s="5">
        <v>228.56353207439321</v>
      </c>
      <c r="F6" s="3">
        <v>212.73449873518351</v>
      </c>
      <c r="G6" s="3">
        <v>195.871057484673</v>
      </c>
      <c r="H6" s="3">
        <v>178.11701847849031</v>
      </c>
      <c r="I6" s="3">
        <v>159.59207606591301</v>
      </c>
      <c r="J6" s="3">
        <v>140.39641296154491</v>
      </c>
      <c r="K6" s="3">
        <v>120.6143805410486</v>
      </c>
      <c r="L6" s="3">
        <v>100.3174288578309</v>
      </c>
      <c r="M6" s="3"/>
      <c r="N6" s="3"/>
    </row>
    <row r="7" spans="1:14" x14ac:dyDescent="0.2">
      <c r="A7" s="2">
        <f t="shared" si="0"/>
        <v>0.1</v>
      </c>
      <c r="B7" s="3">
        <v>264.72561917201011</v>
      </c>
      <c r="C7" s="3">
        <v>254.29299205380221</v>
      </c>
      <c r="D7" s="3">
        <v>241.98428295330541</v>
      </c>
      <c r="E7" s="3">
        <v>228.09238019027569</v>
      </c>
      <c r="F7" s="3">
        <v>212.8599507902434</v>
      </c>
      <c r="G7" s="3">
        <v>196.48697685161051</v>
      </c>
      <c r="H7" s="3">
        <v>179.1383118513647</v>
      </c>
      <c r="I7" s="3">
        <v>160.95030469009319</v>
      </c>
      <c r="J7" s="3">
        <v>142.0362875681349</v>
      </c>
      <c r="K7" s="3">
        <v>122.4910052089692</v>
      </c>
      <c r="L7" s="3">
        <v>102.39414806825739</v>
      </c>
      <c r="M7" s="3"/>
      <c r="N7" s="3"/>
    </row>
    <row r="8" spans="1:14" x14ac:dyDescent="0.2">
      <c r="A8" s="2">
        <f t="shared" si="0"/>
        <v>0.12000000000000001</v>
      </c>
      <c r="B8" s="3">
        <v>259.25176211030811</v>
      </c>
      <c r="C8" s="3">
        <v>250.27654065307169</v>
      </c>
      <c r="D8" s="3">
        <v>239.16467036118499</v>
      </c>
      <c r="E8" s="3">
        <v>226.2525691358444</v>
      </c>
      <c r="F8" s="3">
        <v>211.82329469629741</v>
      </c>
      <c r="G8" s="3">
        <v>196.1110916770385</v>
      </c>
      <c r="H8" s="3">
        <v>179.30873222475569</v>
      </c>
      <c r="I8" s="3">
        <v>161.57489416821269</v>
      </c>
      <c r="J8" s="3">
        <v>143.0406287774251</v>
      </c>
      <c r="K8" s="3">
        <v>123.8147143237195</v>
      </c>
      <c r="L8" s="3">
        <v>103.98797124386191</v>
      </c>
      <c r="M8" s="3"/>
      <c r="N8" s="3"/>
    </row>
    <row r="9" spans="1:14" x14ac:dyDescent="0.2">
      <c r="A9" s="2">
        <f t="shared" si="0"/>
        <v>0.14000000000000001</v>
      </c>
      <c r="B9" s="3">
        <v>251.1978825025584</v>
      </c>
      <c r="C9" s="3">
        <v>244.0773032501348</v>
      </c>
      <c r="D9" s="3">
        <v>234.5086626924807</v>
      </c>
      <c r="E9" s="3">
        <v>222.86745233389499</v>
      </c>
      <c r="F9" s="3">
        <v>209.48214641223379</v>
      </c>
      <c r="G9" s="3">
        <v>194.62893658954539</v>
      </c>
      <c r="H9" s="3">
        <v>178.53614315542899</v>
      </c>
      <c r="I9" s="3">
        <v>161.39142712671421</v>
      </c>
      <c r="J9" s="3">
        <v>143.3490527637052</v>
      </c>
      <c r="K9" s="3">
        <v>124.53625404069361</v>
      </c>
      <c r="L9" s="3">
        <v>105.05850090007149</v>
      </c>
      <c r="M9" s="3"/>
      <c r="N9" s="3"/>
    </row>
    <row r="10" spans="1:14" x14ac:dyDescent="0.2">
      <c r="A10" s="2">
        <f t="shared" si="0"/>
        <v>0.16</v>
      </c>
      <c r="B10" s="3">
        <v>240.2452615470244</v>
      </c>
      <c r="C10" s="3">
        <v>235.38386737441101</v>
      </c>
      <c r="D10" s="3">
        <v>227.74392107971411</v>
      </c>
      <c r="E10" s="3">
        <v>217.71010743555919</v>
      </c>
      <c r="F10" s="3">
        <v>205.65153061673729</v>
      </c>
      <c r="G10" s="3">
        <v>191.8910844107279</v>
      </c>
      <c r="H10" s="3">
        <v>176.70010065304561</v>
      </c>
      <c r="I10" s="3">
        <v>160.30267256554731</v>
      </c>
      <c r="J10" s="3">
        <v>142.8827842298906</v>
      </c>
      <c r="K10" s="3">
        <v>124.5914985684331</v>
      </c>
      <c r="L10" s="3">
        <v>105.5532581551097</v>
      </c>
      <c r="M10" s="3"/>
      <c r="N10" s="3"/>
    </row>
    <row r="11" spans="1:14" x14ac:dyDescent="0.2">
      <c r="A11" s="2">
        <f t="shared" si="0"/>
        <v>0.18</v>
      </c>
      <c r="B11" s="3">
        <v>226.14227275527199</v>
      </c>
      <c r="C11" s="3">
        <v>223.86574220904799</v>
      </c>
      <c r="D11" s="3">
        <v>218.54914797435899</v>
      </c>
      <c r="E11" s="3">
        <v>210.49986682924521</v>
      </c>
      <c r="F11" s="3">
        <v>200.09748182364581</v>
      </c>
      <c r="G11" s="3">
        <v>187.70658120034051</v>
      </c>
      <c r="H11" s="3">
        <v>173.6460829823877</v>
      </c>
      <c r="I11" s="3">
        <v>158.18382857084819</v>
      </c>
      <c r="J11" s="3">
        <v>141.54085021018341</v>
      </c>
      <c r="K11" s="3">
        <v>123.898447572682</v>
      </c>
      <c r="L11" s="3">
        <v>105.4053276009349</v>
      </c>
      <c r="M11" s="3"/>
      <c r="N11" s="3"/>
    </row>
    <row r="12" spans="1:14" x14ac:dyDescent="0.2">
      <c r="A12" s="2">
        <f t="shared" si="0"/>
        <v>0.19999999999999998</v>
      </c>
      <c r="B12" s="3">
        <v>208.89487655004351</v>
      </c>
      <c r="C12" s="3">
        <v>209.2614161876636</v>
      </c>
      <c r="D12" s="3">
        <v>206.58552381544911</v>
      </c>
      <c r="E12" s="3">
        <v>200.90838982913479</v>
      </c>
      <c r="F12" s="3">
        <v>192.5333538024432</v>
      </c>
      <c r="G12" s="3">
        <v>181.83636691540929</v>
      </c>
      <c r="H12" s="3">
        <v>169.1787782796853</v>
      </c>
      <c r="I12" s="3">
        <v>154.87663144164961</v>
      </c>
      <c r="J12" s="3">
        <v>139.19522375354751</v>
      </c>
      <c r="K12" s="3">
        <v>122.35333847106109</v>
      </c>
      <c r="L12" s="3">
        <v>104.5302874020629</v>
      </c>
      <c r="M12" s="3"/>
      <c r="N12" s="3"/>
    </row>
    <row r="15" spans="1:14" x14ac:dyDescent="0.2">
      <c r="A15" t="s">
        <v>15</v>
      </c>
    </row>
    <row r="16" spans="1:14" x14ac:dyDescent="0.2">
      <c r="B16" s="1">
        <v>0.15</v>
      </c>
      <c r="C16" s="1">
        <v>0.16</v>
      </c>
      <c r="D16" s="1">
        <v>0.17</v>
      </c>
      <c r="E16" s="1">
        <v>0.18</v>
      </c>
      <c r="F16" s="1">
        <v>0.19</v>
      </c>
      <c r="G16" s="1">
        <v>0.2</v>
      </c>
      <c r="H16" s="1">
        <v>0.21</v>
      </c>
      <c r="I16" s="1">
        <v>0.22</v>
      </c>
      <c r="J16" s="1">
        <v>0.23</v>
      </c>
      <c r="K16" s="1">
        <v>0.24</v>
      </c>
      <c r="L16" s="1">
        <v>0.25</v>
      </c>
      <c r="M16" s="8"/>
      <c r="N16" s="8"/>
    </row>
    <row r="17" spans="1:14" x14ac:dyDescent="0.2">
      <c r="A17" s="2">
        <v>0</v>
      </c>
      <c r="B17" s="7">
        <f t="shared" ref="B17:L17" si="1">B2/$E$6-1</f>
        <v>0.14554718194866889</v>
      </c>
      <c r="C17" s="7">
        <f t="shared" si="1"/>
        <v>8.8573577286378491E-2</v>
      </c>
      <c r="D17" s="7">
        <f t="shared" si="1"/>
        <v>2.5644569883034984E-2</v>
      </c>
      <c r="E17" s="7">
        <f t="shared" si="1"/>
        <v>-4.2420828573159208E-2</v>
      </c>
      <c r="F17" s="7">
        <f t="shared" si="1"/>
        <v>-0.11493518812709114</v>
      </c>
      <c r="G17" s="7">
        <f t="shared" si="1"/>
        <v>-0.19131969238173796</v>
      </c>
      <c r="H17" s="7">
        <f t="shared" si="1"/>
        <v>-0.27108504039591685</v>
      </c>
      <c r="I17" s="7">
        <f t="shared" si="1"/>
        <v>-0.35381577432137779</v>
      </c>
      <c r="J17" s="7">
        <f t="shared" si="1"/>
        <v>-0.43915749898781087</v>
      </c>
      <c r="K17" s="7">
        <f t="shared" si="1"/>
        <v>-0.52680648283097886</v>
      </c>
      <c r="L17" s="7">
        <f t="shared" si="1"/>
        <v>-0.61650119389416425</v>
      </c>
      <c r="M17" s="9"/>
      <c r="N17" s="9"/>
    </row>
    <row r="18" spans="1:14" x14ac:dyDescent="0.2">
      <c r="A18" s="2">
        <f t="shared" ref="A18:A27" si="2">A17+2%</f>
        <v>0.02</v>
      </c>
      <c r="B18" s="7">
        <f t="shared" ref="B18:L18" si="3">B3/$E$6-1</f>
        <v>0.16348006216867406</v>
      </c>
      <c r="C18" s="7">
        <f t="shared" si="3"/>
        <v>0.10646206501105326</v>
      </c>
      <c r="D18" s="7">
        <f t="shared" si="3"/>
        <v>4.3435283595849805E-2</v>
      </c>
      <c r="E18" s="7">
        <f t="shared" si="3"/>
        <v>-2.4760134147027602E-2</v>
      </c>
      <c r="F18" s="7">
        <f t="shared" si="3"/>
        <v>-9.7422610480143557E-2</v>
      </c>
      <c r="G18" s="7">
        <f t="shared" si="3"/>
        <v>-0.17396392441902053</v>
      </c>
      <c r="H18" s="7">
        <f t="shared" si="3"/>
        <v>-0.25388858714305262</v>
      </c>
      <c r="I18" s="7">
        <f t="shared" si="3"/>
        <v>-0.33677713462960213</v>
      </c>
      <c r="J18" s="7">
        <f t="shared" si="3"/>
        <v>-0.4222726450566523</v>
      </c>
      <c r="K18" s="7">
        <f t="shared" si="3"/>
        <v>-0.51006986227101558</v>
      </c>
      <c r="L18" s="7">
        <f t="shared" si="3"/>
        <v>-0.59990640619198876</v>
      </c>
      <c r="M18" s="9"/>
      <c r="N18" s="9"/>
    </row>
    <row r="19" spans="1:14" x14ac:dyDescent="0.2">
      <c r="A19" s="2">
        <f t="shared" si="2"/>
        <v>0.04</v>
      </c>
      <c r="B19" s="7">
        <f t="shared" ref="B19:L19" si="4">B4/$E$6-1</f>
        <v>0.17413828246666729</v>
      </c>
      <c r="C19" s="7">
        <f t="shared" si="4"/>
        <v>0.11813991139649382</v>
      </c>
      <c r="D19" s="7">
        <f t="shared" si="4"/>
        <v>5.5899137388618403E-2</v>
      </c>
      <c r="E19" s="7">
        <f t="shared" si="4"/>
        <v>-1.1689582396580578E-2</v>
      </c>
      <c r="F19" s="7">
        <f t="shared" si="4"/>
        <v>-8.3883214493799763E-2</v>
      </c>
      <c r="G19" s="7">
        <f t="shared" si="4"/>
        <v>-0.16006200415154714</v>
      </c>
      <c r="H19" s="7">
        <f t="shared" si="4"/>
        <v>-0.23970646781383509</v>
      </c>
      <c r="I19" s="7">
        <f t="shared" si="4"/>
        <v>-0.32237883671748446</v>
      </c>
      <c r="J19" s="7">
        <f t="shared" si="4"/>
        <v>-0.40770817175833929</v>
      </c>
      <c r="K19" s="7">
        <f t="shared" si="4"/>
        <v>-0.4953784344961768</v>
      </c>
      <c r="L19" s="7">
        <f t="shared" si="4"/>
        <v>-0.58511891106557279</v>
      </c>
      <c r="M19" s="9"/>
      <c r="N19" s="9"/>
    </row>
    <row r="20" spans="1:14" x14ac:dyDescent="0.2">
      <c r="A20" s="2">
        <f t="shared" si="2"/>
        <v>0.06</v>
      </c>
      <c r="B20" s="7">
        <f t="shared" ref="B20:L20" si="5">B5/$E$6-1</f>
        <v>0.17721780570031354</v>
      </c>
      <c r="C20" s="7">
        <f t="shared" si="5"/>
        <v>0.12337349776258422</v>
      </c>
      <c r="D20" s="7">
        <f t="shared" si="5"/>
        <v>6.285682181169383E-2</v>
      </c>
      <c r="E20" s="7">
        <f t="shared" si="5"/>
        <v>-3.3470270436021243E-3</v>
      </c>
      <c r="F20" s="7">
        <f t="shared" si="5"/>
        <v>-7.4423320122828263E-2</v>
      </c>
      <c r="G20" s="7">
        <f t="shared" si="5"/>
        <v>-0.14969625679870102</v>
      </c>
      <c r="H20" s="7">
        <f t="shared" si="5"/>
        <v>-0.22860270288710638</v>
      </c>
      <c r="I20" s="7">
        <f t="shared" si="5"/>
        <v>-0.3106708837817268</v>
      </c>
      <c r="J20" s="7">
        <f t="shared" si="5"/>
        <v>-0.39550330000253875</v>
      </c>
      <c r="K20" s="7">
        <f t="shared" si="5"/>
        <v>-0.48276308663140677</v>
      </c>
      <c r="L20" s="7">
        <f t="shared" si="5"/>
        <v>-0.57216312279172499</v>
      </c>
      <c r="M20" s="9"/>
      <c r="N20" s="9"/>
    </row>
    <row r="21" spans="1:14" x14ac:dyDescent="0.2">
      <c r="A21" s="2">
        <f t="shared" si="2"/>
        <v>0.08</v>
      </c>
      <c r="B21" s="7">
        <f t="shared" ref="B21:L21" si="6">B6/$E$6-1</f>
        <v>0.1721765215011426</v>
      </c>
      <c r="C21" s="7">
        <f t="shared" si="6"/>
        <v>0.121732859033862</v>
      </c>
      <c r="D21" s="7">
        <f t="shared" si="6"/>
        <v>6.3969109737989749E-2</v>
      </c>
      <c r="E21" s="7">
        <f>E6/$E$6-1</f>
        <v>0</v>
      </c>
      <c r="F21" s="7">
        <f t="shared" ref="F21:L21" si="7">F6/$E$6-1</f>
        <v>-6.9254413403349258E-2</v>
      </c>
      <c r="G21" s="7">
        <f t="shared" si="7"/>
        <v>-0.14303451776847498</v>
      </c>
      <c r="H21" s="7">
        <f t="shared" si="7"/>
        <v>-0.22071112192772502</v>
      </c>
      <c r="I21" s="7">
        <f t="shared" si="7"/>
        <v>-0.30176054501131555</v>
      </c>
      <c r="J21" s="7">
        <f t="shared" si="7"/>
        <v>-0.38574447250032662</v>
      </c>
      <c r="K21" s="7">
        <f t="shared" si="7"/>
        <v>-0.4722938543765991</v>
      </c>
      <c r="L21" s="7">
        <f t="shared" si="7"/>
        <v>-0.5610960858568661</v>
      </c>
      <c r="M21" s="9"/>
      <c r="N21" s="9"/>
    </row>
    <row r="22" spans="1:14" x14ac:dyDescent="0.2">
      <c r="A22" s="2">
        <f t="shared" si="2"/>
        <v>0.1</v>
      </c>
      <c r="B22" s="7">
        <f t="shared" ref="B22:L22" si="8">B7/$E$6-1</f>
        <v>0.1582145969193669</v>
      </c>
      <c r="C22" s="7">
        <f t="shared" si="8"/>
        <v>0.11257027639489992</v>
      </c>
      <c r="D22" s="7">
        <f t="shared" si="8"/>
        <v>5.8717813629796334E-2</v>
      </c>
      <c r="E22" s="7">
        <f t="shared" si="8"/>
        <v>-2.0613607072023088E-3</v>
      </c>
      <c r="F22" s="7">
        <f t="shared" si="8"/>
        <v>-6.8705541700495698E-2</v>
      </c>
      <c r="G22" s="7">
        <f t="shared" si="8"/>
        <v>-0.14033977744245907</v>
      </c>
      <c r="H22" s="7">
        <f t="shared" si="8"/>
        <v>-0.21624280905381488</v>
      </c>
      <c r="I22" s="7">
        <f t="shared" si="8"/>
        <v>-0.29581808948547905</v>
      </c>
      <c r="J22" s="7">
        <f t="shared" si="8"/>
        <v>-0.37856977323090757</v>
      </c>
      <c r="K22" s="7">
        <f t="shared" si="8"/>
        <v>-0.46408333780429745</v>
      </c>
      <c r="L22" s="7">
        <f t="shared" si="8"/>
        <v>-0.55201012541698913</v>
      </c>
      <c r="M22" s="9"/>
      <c r="N22" s="9"/>
    </row>
    <row r="23" spans="1:14" x14ac:dyDescent="0.2">
      <c r="A23" s="2">
        <f t="shared" si="2"/>
        <v>0.12000000000000001</v>
      </c>
      <c r="B23" s="7">
        <f t="shared" ref="B23:L23" si="9">B8/$E$6-1</f>
        <v>0.13426564490579551</v>
      </c>
      <c r="C23" s="7">
        <f t="shared" si="9"/>
        <v>9.4997694433647917E-2</v>
      </c>
      <c r="D23" s="7">
        <f t="shared" si="9"/>
        <v>4.6381582357334805E-2</v>
      </c>
      <c r="E23" s="7">
        <f t="shared" si="9"/>
        <v>-1.011081215614329E-2</v>
      </c>
      <c r="F23" s="7">
        <f t="shared" si="9"/>
        <v>-7.3241068801155773E-2</v>
      </c>
      <c r="G23" s="7">
        <f t="shared" si="9"/>
        <v>-0.1419843318959213</v>
      </c>
      <c r="H23" s="7">
        <f t="shared" si="9"/>
        <v>-0.2154971941613415</v>
      </c>
      <c r="I23" s="7">
        <f t="shared" si="9"/>
        <v>-0.29308541611256234</v>
      </c>
      <c r="J23" s="7">
        <f t="shared" si="9"/>
        <v>-0.37417562863498266</v>
      </c>
      <c r="K23" s="7">
        <f t="shared" si="9"/>
        <v>-0.45829191034980987</v>
      </c>
      <c r="L23" s="7">
        <f t="shared" si="9"/>
        <v>-0.54503690811876437</v>
      </c>
      <c r="M23" s="9"/>
      <c r="N23" s="9"/>
    </row>
    <row r="24" spans="1:14" x14ac:dyDescent="0.2">
      <c r="A24" s="2">
        <f t="shared" si="2"/>
        <v>0.14000000000000001</v>
      </c>
      <c r="B24" s="7">
        <f t="shared" ref="B24:L24" si="10">B9/$E$6-1</f>
        <v>9.9028704285153202E-2</v>
      </c>
      <c r="C24" s="7">
        <f t="shared" si="10"/>
        <v>6.7875093786580853E-2</v>
      </c>
      <c r="D24" s="7">
        <f t="shared" si="10"/>
        <v>2.6010845055336462E-2</v>
      </c>
      <c r="E24" s="7">
        <f t="shared" si="10"/>
        <v>-2.4921209822064916E-2</v>
      </c>
      <c r="F24" s="7">
        <f t="shared" si="10"/>
        <v>-8.3483946406414433E-2</v>
      </c>
      <c r="G24" s="7">
        <f t="shared" si="10"/>
        <v>-0.14846898443012657</v>
      </c>
      <c r="H24" s="7">
        <f t="shared" si="10"/>
        <v>-0.21887738811579627</v>
      </c>
      <c r="I24" s="7">
        <f t="shared" si="10"/>
        <v>-0.29388811214999833</v>
      </c>
      <c r="J24" s="7">
        <f t="shared" si="10"/>
        <v>-0.37282622707699609</v>
      </c>
      <c r="K24" s="7">
        <f t="shared" si="10"/>
        <v>-0.45513506502796186</v>
      </c>
      <c r="L24" s="7">
        <f t="shared" si="10"/>
        <v>-0.54035317906324232</v>
      </c>
      <c r="M24" s="9"/>
      <c r="N24" s="9"/>
    </row>
    <row r="25" spans="1:14" x14ac:dyDescent="0.2">
      <c r="A25" s="2">
        <f t="shared" si="2"/>
        <v>0.16</v>
      </c>
      <c r="B25" s="7">
        <f t="shared" ref="B25:L25" si="11">B10/$E$6-1</f>
        <v>5.1109332125778506E-2</v>
      </c>
      <c r="C25" s="7">
        <f t="shared" si="11"/>
        <v>2.9839997825190645E-2</v>
      </c>
      <c r="D25" s="7">
        <f t="shared" si="11"/>
        <v>-3.5859219851936963E-3</v>
      </c>
      <c r="E25" s="7">
        <f t="shared" si="11"/>
        <v>-4.7485373280377163E-2</v>
      </c>
      <c r="F25" s="7">
        <f t="shared" si="11"/>
        <v>-0.10024346950588114</v>
      </c>
      <c r="G25" s="7">
        <f t="shared" si="11"/>
        <v>-0.16044750153637422</v>
      </c>
      <c r="H25" s="7">
        <f t="shared" si="11"/>
        <v>-0.22691035157991435</v>
      </c>
      <c r="I25" s="7">
        <f t="shared" si="11"/>
        <v>-0.29865157791938679</v>
      </c>
      <c r="J25" s="7">
        <f t="shared" si="11"/>
        <v>-0.37486622238850908</v>
      </c>
      <c r="K25" s="7">
        <f t="shared" si="11"/>
        <v>-0.45489336186894036</v>
      </c>
      <c r="L25" s="7">
        <f t="shared" si="11"/>
        <v>-0.53818854129033111</v>
      </c>
      <c r="M25" s="9"/>
      <c r="N25" s="9"/>
    </row>
    <row r="26" spans="1:14" x14ac:dyDescent="0.2">
      <c r="A26" s="2">
        <f t="shared" si="2"/>
        <v>0.18</v>
      </c>
      <c r="B26" s="7">
        <f t="shared" ref="B26:L26" si="12">B11/$E$6-1</f>
        <v>-1.059337549234729E-2</v>
      </c>
      <c r="C26" s="7">
        <f t="shared" si="12"/>
        <v>-2.0553540727644037E-2</v>
      </c>
      <c r="D26" s="7">
        <f t="shared" si="12"/>
        <v>-4.3814444102897032E-2</v>
      </c>
      <c r="E26" s="7">
        <f t="shared" si="12"/>
        <v>-7.903126575445385E-2</v>
      </c>
      <c r="F26" s="7">
        <f t="shared" si="12"/>
        <v>-0.12454327246519026</v>
      </c>
      <c r="G26" s="7">
        <f t="shared" si="12"/>
        <v>-0.17875533556575651</v>
      </c>
      <c r="H26" s="7">
        <f t="shared" si="12"/>
        <v>-0.24027214050109669</v>
      </c>
      <c r="I26" s="7">
        <f t="shared" si="12"/>
        <v>-0.3079218406575801</v>
      </c>
      <c r="J26" s="7">
        <f t="shared" si="12"/>
        <v>-0.38073738655686129</v>
      </c>
      <c r="K26" s="7">
        <f t="shared" si="12"/>
        <v>-0.45792556472939283</v>
      </c>
      <c r="L26" s="7">
        <f t="shared" si="12"/>
        <v>-0.53883575982441756</v>
      </c>
      <c r="M26" s="9"/>
      <c r="N26" s="9"/>
    </row>
    <row r="27" spans="1:14" x14ac:dyDescent="0.2">
      <c r="A27" s="2">
        <f t="shared" si="2"/>
        <v>0.19999999999999998</v>
      </c>
      <c r="B27" s="7">
        <f t="shared" ref="B27:L27" si="13">B12/$E$6-1</f>
        <v>-8.6053340818814106E-2</v>
      </c>
      <c r="C27" s="7">
        <f t="shared" si="13"/>
        <v>-8.444967450208607E-2</v>
      </c>
      <c r="D27" s="7">
        <f t="shared" si="13"/>
        <v>-9.6157108089275911E-2</v>
      </c>
      <c r="E27" s="7">
        <f t="shared" si="13"/>
        <v>-0.12099542737315239</v>
      </c>
      <c r="F27" s="7">
        <f t="shared" si="13"/>
        <v>-0.15763747586917254</v>
      </c>
      <c r="G27" s="7">
        <f t="shared" si="13"/>
        <v>-0.20443841033999721</v>
      </c>
      <c r="H27" s="7">
        <f t="shared" si="13"/>
        <v>-0.259817273804551</v>
      </c>
      <c r="I27" s="7">
        <f t="shared" si="13"/>
        <v>-0.32239132797772774</v>
      </c>
      <c r="J27" s="7">
        <f t="shared" si="13"/>
        <v>-0.39099985684399541</v>
      </c>
      <c r="K27" s="7">
        <f t="shared" si="13"/>
        <v>-0.46468565059085043</v>
      </c>
      <c r="L27" s="7">
        <f t="shared" si="13"/>
        <v>-0.54266419295603019</v>
      </c>
      <c r="M27" s="9"/>
      <c r="N27" s="9"/>
    </row>
  </sheetData>
  <conditionalFormatting sqref="B2:L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7:N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Params</vt:lpstr>
      <vt:lpstr>ATM_Vol_Rates</vt:lpstr>
      <vt:lpstr>Skew_Rates</vt:lpstr>
      <vt:lpstr>Skew_ATM_Vol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Yushi Wei</cp:lastModifiedBy>
  <dcterms:created xsi:type="dcterms:W3CDTF">2025-09-29T22:09:52Z</dcterms:created>
  <dcterms:modified xsi:type="dcterms:W3CDTF">2025-09-29T22:37:26Z</dcterms:modified>
</cp:coreProperties>
</file>